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Healthcare Dashboard Reports/"/>
    </mc:Choice>
  </mc:AlternateContent>
  <xr:revisionPtr revIDLastSave="0" documentId="8_{AEB51446-3B8D-4459-ACBA-4E5FD9367C0E}" xr6:coauthVersionLast="47" xr6:coauthVersionMax="47" xr10:uidLastSave="{00000000-0000-0000-0000-000000000000}"/>
  <bookViews>
    <workbookView xWindow="-28920" yWindow="-11790" windowWidth="29040" windowHeight="15720" xr2:uid="{DC5E560D-579C-485D-825F-94F306B9108B}"/>
  </bookViews>
  <sheets>
    <sheet name="Healthcare Certification Re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" i="1" l="1"/>
  <c r="S2" i="1"/>
  <c r="S8" i="1"/>
  <c r="S5" i="1"/>
  <c r="S3" i="1"/>
  <c r="S6" i="1"/>
  <c r="S4" i="1"/>
  <c r="S9" i="1"/>
</calcChain>
</file>

<file path=xl/sharedStrings.xml><?xml version="1.0" encoding="utf-8"?>
<sst xmlns="http://schemas.openxmlformats.org/spreadsheetml/2006/main" count="1092" uniqueCount="279">
  <si>
    <t>User</t>
  </si>
  <si>
    <t>Active Users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</si>
  <si>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</si>
  <si>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</si>
  <si>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</si>
  <si>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</si>
  <si>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</si>
  <si>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</si>
  <si>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</si>
  <si>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</si>
  <si>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</si>
  <si>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</si>
  <si>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</si>
  <si>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</si>
  <si>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</si>
  <si>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</si>
  <si>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Certification Title</t>
  </si>
  <si>
    <t>Healthcare Certification Date</t>
  </si>
  <si>
    <t>HC Qtr Certified</t>
  </si>
  <si>
    <t>HC Certified (Resmie)</t>
  </si>
  <si>
    <t>Yes</t>
  </si>
  <si>
    <t>Michelle</t>
  </si>
  <si>
    <t>Ashby</t>
  </si>
  <si>
    <t>MAshby@kmbs.konicaminolta.us</t>
  </si>
  <si>
    <t>Director of Sales</t>
  </si>
  <si>
    <t>FY2026 Direct Sales</t>
  </si>
  <si>
    <t>Heartland Sls</t>
  </si>
  <si>
    <t>Michael</t>
  </si>
  <si>
    <t>Mattson</t>
  </si>
  <si>
    <t>MMattson@kmbs.konicaminolta.us</t>
  </si>
  <si>
    <t>Area Vice President</t>
  </si>
  <si>
    <t>SF</t>
  </si>
  <si>
    <t>EMP_BUS</t>
  </si>
  <si>
    <t>Healthcare Certification for Direct Sales</t>
  </si>
  <si>
    <t>Bryan</t>
  </si>
  <si>
    <t>Davis</t>
  </si>
  <si>
    <t>bryan.davis@KMBS.konicaminolta.us</t>
  </si>
  <si>
    <t>Mid-Atlantic Sls</t>
  </si>
  <si>
    <t>Vickie</t>
  </si>
  <si>
    <t>Lewis</t>
  </si>
  <si>
    <t>VLewis@kmbs.konicaminolta.us</t>
  </si>
  <si>
    <t>Karie</t>
  </si>
  <si>
    <t>Lee</t>
  </si>
  <si>
    <t>Karie.Lee@kmbs.konicaminolta.us</t>
  </si>
  <si>
    <t>Director of Sales - Healthcare</t>
  </si>
  <si>
    <t>Southeast Sls</t>
  </si>
  <si>
    <t>Jeffrey</t>
  </si>
  <si>
    <t>JLee@kmbs.konicaminolta.us</t>
  </si>
  <si>
    <t>Market Vice President- Field Sales</t>
  </si>
  <si>
    <t>Kenneth</t>
  </si>
  <si>
    <t>Scheuer</t>
  </si>
  <si>
    <t>KScheuer@kmbs.konicaminolta.us</t>
  </si>
  <si>
    <t>Bill</t>
  </si>
  <si>
    <t>Slater</t>
  </si>
  <si>
    <t>bslater@kmbs.konicaminolta.us</t>
  </si>
  <si>
    <t>West Sls</t>
  </si>
  <si>
    <t>Inbo</t>
  </si>
  <si>
    <t>ilee@kmbs.konicaminolta.us</t>
  </si>
  <si>
    <t>Robert</t>
  </si>
  <si>
    <t>Venturella</t>
  </si>
  <si>
    <t>RVenturella@kmbs.konicaminolta.us</t>
  </si>
  <si>
    <t>Central Sls</t>
  </si>
  <si>
    <t>Eric</t>
  </si>
  <si>
    <t>Montgomery</t>
  </si>
  <si>
    <t>EMontgomery@kmbs.konicaminolta.us</t>
  </si>
  <si>
    <t>Gina</t>
  </si>
  <si>
    <t>Vertullo</t>
  </si>
  <si>
    <t>GVertullo@kmbs.konicaminolta.us</t>
  </si>
  <si>
    <t>Account Executive - Healthcare</t>
  </si>
  <si>
    <t>Banks</t>
  </si>
  <si>
    <t>Wilson</t>
  </si>
  <si>
    <t>BWilson@kmbs.konicaminolta.us</t>
  </si>
  <si>
    <t>Nicholas</t>
  </si>
  <si>
    <t>Demeduk</t>
  </si>
  <si>
    <t>NDemeduk@kmbs.konicaminolta.us</t>
  </si>
  <si>
    <t>Andrea</t>
  </si>
  <si>
    <t>Adkins</t>
  </si>
  <si>
    <t>AAdkins@kmbs.konicaminolta.us</t>
  </si>
  <si>
    <t>Principal Client Relationship Executive - Healthcare</t>
  </si>
  <si>
    <t>No</t>
  </si>
  <si>
    <t>Dillon</t>
  </si>
  <si>
    <t>Basnight</t>
  </si>
  <si>
    <t>DBasnight@kmbs.konicaminolta.us</t>
  </si>
  <si>
    <t>Business Development Executive - Healthcare</t>
  </si>
  <si>
    <t>Brian</t>
  </si>
  <si>
    <t>Bullock</t>
  </si>
  <si>
    <t>BBullock@kmbs.konicaminolta.us</t>
  </si>
  <si>
    <t>Director of Sales - Government Education</t>
  </si>
  <si>
    <t>John</t>
  </si>
  <si>
    <t>Benton</t>
  </si>
  <si>
    <t>SBenton@kmbs.konicaminolta.us</t>
  </si>
  <si>
    <t>Account Executive</t>
  </si>
  <si>
    <t>James</t>
  </si>
  <si>
    <t>Hankins</t>
  </si>
  <si>
    <t>JHankins@kmbs.konicaminolta.us</t>
  </si>
  <si>
    <t>Richard</t>
  </si>
  <si>
    <t>Bortner</t>
  </si>
  <si>
    <t>RBortner@kmbs.konicaminolta.us</t>
  </si>
  <si>
    <t>Harrison</t>
  </si>
  <si>
    <t>Harpole</t>
  </si>
  <si>
    <t>HHarpole@kmbs.konicaminolta.us</t>
  </si>
  <si>
    <t>Frankie</t>
  </si>
  <si>
    <t>Britt</t>
  </si>
  <si>
    <t>FBritt@kmbs.konicaminolta.us</t>
  </si>
  <si>
    <t>Major Client Relationship Executive</t>
  </si>
  <si>
    <t>Mark</t>
  </si>
  <si>
    <t>Brown</t>
  </si>
  <si>
    <t>Mark.Brown@kmbs.konicaminolta.us</t>
  </si>
  <si>
    <t>Principal Account Executive- Healthcare</t>
  </si>
  <si>
    <t>Daniel</t>
  </si>
  <si>
    <t>Chavarria</t>
  </si>
  <si>
    <t>DChavarria@kmbs.konicaminolta.us</t>
  </si>
  <si>
    <t>Senior Account Executive</t>
  </si>
  <si>
    <t>Clayton</t>
  </si>
  <si>
    <t>Crane</t>
  </si>
  <si>
    <t>ecrane@kmbs.konicaminolta.us</t>
  </si>
  <si>
    <t>Cory</t>
  </si>
  <si>
    <t>Coleman</t>
  </si>
  <si>
    <t>ccoleman@kmbs.konicaminolta.us</t>
  </si>
  <si>
    <t>Heath</t>
  </si>
  <si>
    <t>Kidd</t>
  </si>
  <si>
    <t>HKidd@kmbs.konicaminolta.us</t>
  </si>
  <si>
    <t>Anne</t>
  </si>
  <si>
    <t>ADavis@kmbs.konicaminolta.us</t>
  </si>
  <si>
    <t>Donald</t>
  </si>
  <si>
    <t>Dempsey</t>
  </si>
  <si>
    <t>DDempsey@kmbs.konicaminolta.us</t>
  </si>
  <si>
    <t>Senior Account Executive - Healthcare</t>
  </si>
  <si>
    <t>Northeast Sls</t>
  </si>
  <si>
    <t>Roger</t>
  </si>
  <si>
    <t>DiGregorio</t>
  </si>
  <si>
    <t>RDigregorio@kmbs.konicaminolta.us</t>
  </si>
  <si>
    <t>Jason</t>
  </si>
  <si>
    <t>Dexter</t>
  </si>
  <si>
    <t>JDexter@kmbs.konicaminolta.us</t>
  </si>
  <si>
    <t>Matthew</t>
  </si>
  <si>
    <t>Doan</t>
  </si>
  <si>
    <t>mdoan@kmbs.konicaminolta.us</t>
  </si>
  <si>
    <t>Dominic</t>
  </si>
  <si>
    <t>Donato</t>
  </si>
  <si>
    <t>ddonato@kmbs.konicaminolta.us</t>
  </si>
  <si>
    <t>Emmanuel</t>
  </si>
  <si>
    <t>Torres</t>
  </si>
  <si>
    <t>ETorres@kmbs.konicaminolta.us</t>
  </si>
  <si>
    <t>Lisa</t>
  </si>
  <si>
    <t>Donner</t>
  </si>
  <si>
    <t>LDonner@kmbs.konicaminolta.us</t>
  </si>
  <si>
    <t>Eldridge</t>
  </si>
  <si>
    <t>Daniel.Eldridge@kmbs.konicaminolta.us</t>
  </si>
  <si>
    <t>Stephen</t>
  </si>
  <si>
    <t>Farrell</t>
  </si>
  <si>
    <t>SFarrell@kmbs.konicaminolta.us</t>
  </si>
  <si>
    <t>Ty</t>
  </si>
  <si>
    <t>Foster</t>
  </si>
  <si>
    <t>Ty.Foster@kmbs.konicaminolta.us</t>
  </si>
  <si>
    <t>Senior Business Development Executive - Healthcare</t>
  </si>
  <si>
    <t>Andrew</t>
  </si>
  <si>
    <t>Gibbs</t>
  </si>
  <si>
    <t>DGibbs@kmbs.konicaminolta.us</t>
  </si>
  <si>
    <t>Dee</t>
  </si>
  <si>
    <t>Gilbert</t>
  </si>
  <si>
    <t>DGilbert@kmbs.konicaminolta.us</t>
  </si>
  <si>
    <t>Olivia</t>
  </si>
  <si>
    <t>Gilmore</t>
  </si>
  <si>
    <t>ogilmore@kmbs.konicaminolta.us</t>
  </si>
  <si>
    <t>Erik</t>
  </si>
  <si>
    <t>Goetzke</t>
  </si>
  <si>
    <t>egoetzke@kmbs.konicaminolta.us</t>
  </si>
  <si>
    <t>Ryan</t>
  </si>
  <si>
    <t>Hamilton</t>
  </si>
  <si>
    <t>RHamilton@kmbs.konicaminolta.us</t>
  </si>
  <si>
    <t>Anna</t>
  </si>
  <si>
    <t>Harbort</t>
  </si>
  <si>
    <t>aharbort@kmbs.konicaminolta.us</t>
  </si>
  <si>
    <t>Timothy</t>
  </si>
  <si>
    <t>Herrington</t>
  </si>
  <si>
    <t>THerrington@kmbs.konicaminolta.us</t>
  </si>
  <si>
    <t>Whitney</t>
  </si>
  <si>
    <t>Hicks</t>
  </si>
  <si>
    <t>WHicks@kmbs.konicaminolta.us</t>
  </si>
  <si>
    <t>Sean</t>
  </si>
  <si>
    <t>Hur</t>
  </si>
  <si>
    <t>SHur@kmbs.konicaminolta.us</t>
  </si>
  <si>
    <t>Jared</t>
  </si>
  <si>
    <t>Jackson</t>
  </si>
  <si>
    <t>jared.jackson@kmbs.konicaminolta.us</t>
  </si>
  <si>
    <t>Senior Business Development Executive</t>
  </si>
  <si>
    <t>Phillip</t>
  </si>
  <si>
    <t>Pierce</t>
  </si>
  <si>
    <t>david.pierce@kmbs.konicaminolta.us</t>
  </si>
  <si>
    <t>Jerry</t>
  </si>
  <si>
    <t>Jelinek</t>
  </si>
  <si>
    <t>JJelinek@kmbs.konicaminolta.us</t>
  </si>
  <si>
    <t>Abigail</t>
  </si>
  <si>
    <t>Adams</t>
  </si>
  <si>
    <t>AAdams@kmbs.konicaminolta.us</t>
  </si>
  <si>
    <t>Ann</t>
  </si>
  <si>
    <t>Jones</t>
  </si>
  <si>
    <t>Ann.Jones@KMBS.konicaminolta.us</t>
  </si>
  <si>
    <t>Keene</t>
  </si>
  <si>
    <t>JKeene@kmbs.konicaminolta.us</t>
  </si>
  <si>
    <t>Kevin</t>
  </si>
  <si>
    <t>Klicman</t>
  </si>
  <si>
    <t>CKlicman@kmbs.konicaminolta.us</t>
  </si>
  <si>
    <t>Isabella</t>
  </si>
  <si>
    <t>Lawrence</t>
  </si>
  <si>
    <t>IDelgado@kmbs.konicaminolta.us</t>
  </si>
  <si>
    <t>Gerri</t>
  </si>
  <si>
    <t>Major</t>
  </si>
  <si>
    <t>Gerri.Hadley@kmbs.konicaminolta.us</t>
  </si>
  <si>
    <t>Principal Client Relationship Executive</t>
  </si>
  <si>
    <t>Jing</t>
  </si>
  <si>
    <t>Mallory</t>
  </si>
  <si>
    <t>JMallory@kmbs.konicaminolta.us</t>
  </si>
  <si>
    <t>Marshall</t>
  </si>
  <si>
    <t>Smarshall@kmbs.konicaminolta.us</t>
  </si>
  <si>
    <t>Danielle</t>
  </si>
  <si>
    <t>Masella</t>
  </si>
  <si>
    <t>DMasella@kmbs.konicaminolta.us</t>
  </si>
  <si>
    <t>Dana</t>
  </si>
  <si>
    <t>Drury</t>
  </si>
  <si>
    <t>Dana.Drury@kmbs.konicaminolta.us</t>
  </si>
  <si>
    <t>Francis</t>
  </si>
  <si>
    <t>McBride</t>
  </si>
  <si>
    <t>fmcbride@kmbs.konicaminolta.us</t>
  </si>
  <si>
    <t>Shayla</t>
  </si>
  <si>
    <t>Metz</t>
  </si>
  <si>
    <t>SMetz@kmbs.konicaminolta.us</t>
  </si>
  <si>
    <t>Terrance</t>
  </si>
  <si>
    <t>O'Leary</t>
  </si>
  <si>
    <t>toleary@kmbs.konicaminolta.us</t>
  </si>
  <si>
    <t>Luis</t>
  </si>
  <si>
    <t>Parejo</t>
  </si>
  <si>
    <t>lparejo@kmbs.konicaminolta.us</t>
  </si>
  <si>
    <t>Brad</t>
  </si>
  <si>
    <t>Windham</t>
  </si>
  <si>
    <t>windhamb@kmbs.konicaminolta.us</t>
  </si>
  <si>
    <t>Paul</t>
  </si>
  <si>
    <t>Pompeo</t>
  </si>
  <si>
    <t>PPompeo@kmbs.konicaminolta.us</t>
  </si>
  <si>
    <t>Pamela</t>
  </si>
  <si>
    <t>Reese</t>
  </si>
  <si>
    <t>PSmock@kmbs.konicaminolta.us</t>
  </si>
  <si>
    <t>Jack</t>
  </si>
  <si>
    <t>Sammons</t>
  </si>
  <si>
    <t>JSammons@kmbs.konicaminolta.us</t>
  </si>
  <si>
    <t>Sandeep</t>
  </si>
  <si>
    <t>Satija</t>
  </si>
  <si>
    <t>SSatija@kmbs.konicaminolta.us</t>
  </si>
  <si>
    <t>Travis</t>
  </si>
  <si>
    <t>Sears</t>
  </si>
  <si>
    <t>TSears@kmbs.konicaminolta.us</t>
  </si>
  <si>
    <t>Lauren</t>
  </si>
  <si>
    <t>Slane</t>
  </si>
  <si>
    <t>LSlane@kmbs.konicaminolta.us</t>
  </si>
  <si>
    <t>Logan</t>
  </si>
  <si>
    <t>Smith</t>
  </si>
  <si>
    <t>LSmith@kmbs.konicaminolta.us</t>
  </si>
  <si>
    <t>Steen</t>
  </si>
  <si>
    <t>BSteen@kmbs.konicaminolta.us</t>
  </si>
  <si>
    <t>Steinbrecher</t>
  </si>
  <si>
    <t>jsteinbrecher@kmbs.konicaminolta.us</t>
  </si>
  <si>
    <t>Wall</t>
  </si>
  <si>
    <t>JWall@kmbs.konicaminolta.us</t>
  </si>
  <si>
    <t>Tyler</t>
  </si>
  <si>
    <t>Watling</t>
  </si>
  <si>
    <t>TWatling@kmbs.konicaminolta.us</t>
  </si>
  <si>
    <t>Leigh</t>
  </si>
  <si>
    <t>Whitaker</t>
  </si>
  <si>
    <t>TWhitaker@kmbs.konicaminolta.us</t>
  </si>
  <si>
    <t>Philip</t>
  </si>
  <si>
    <t>White</t>
  </si>
  <si>
    <t>PWhite@kmbs.konicaminolta.us</t>
  </si>
  <si>
    <t>Jason </t>
  </si>
  <si>
    <t>Keene </t>
  </si>
  <si>
    <t>JKeene@kmbs.konicaminolta.us </t>
  </si>
  <si>
    <t>Heather</t>
  </si>
  <si>
    <t>Yeager</t>
  </si>
  <si>
    <t>HYeager@kmbs.konicaminolta.us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</si>
</sst>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Segoe U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13" fillId="33" borderId="10" xfId="0" applyFont="1" applyFill="1" applyBorder="1" applyAlignment="1">
      <alignment horizontal="center"/>
    </xf>
    <xf numFmtId="0" fontId="8" fillId="4" borderId="0" xfId="8" applyAlignment="1">
      <alignment horizontal="center"/>
    </xf>
    <xf numFmtId="0" fontId="7" fillId="3" borderId="10" xfId="7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6" fillId="2" borderId="10" xfId="6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B49C0E-B689-40D7-AF80-6540B72913D2}" name="Table1" displayName="Table1" ref="A1:T68" totalsRowShown="0" headerRowDxfId="4">
  <tableColumns count="20">
    <tableColumn id="1" xr3:uid="{7E27C642-CD96-4E29-8515-090A1E2597B4}" name="User"/>
    <tableColumn id="21" xr3:uid="{50452B11-87F7-47DB-9B0B-60BC2C16FB02}" name="Active Users" dataDxfId="3"/>
    <tableColumn id="2" xr3:uid="{CFFAECCF-72C9-4975-9126-F750BD17086F}" name="First Name"/>
    <tableColumn id="3" xr3:uid="{72D560DD-C804-4CCA-A0AF-6E9765DBE97D}" name="Last Name"/>
    <tableColumn id="4" xr3:uid="{DA0EF794-C5D7-4C59-BF79-583C74C9F984}" name="Email Address"/>
    <tableColumn id="5" xr3:uid="{0302E242-BBF4-4675-980F-D5AEA81A3BE7}" name="Job Title"/>
    <tableColumn id="6" xr3:uid="{9EC61498-0D17-4CBF-BACA-1124C6F10AF8}" name="Region"/>
    <tableColumn id="7" xr3:uid="{B0EC4BF5-B58C-47E1-A479-B0F15187FE01}" name="Market"/>
    <tableColumn id="8" xr3:uid="{0889E08E-8052-4DCC-A376-B6D07E75B96C}" name="Branch"/>
    <tableColumn id="9" xr3:uid="{40B51040-87F7-4CC7-8817-6ED69BDEAC3C}" name="ManagerFirstName"/>
    <tableColumn id="10" xr3:uid="{E460ADC9-614C-42B1-B90B-843D7117A395}" name="ManagerLastName"/>
    <tableColumn id="11" xr3:uid="{4A76031F-6B0D-4855-86C9-23F94BEB6426}" name="SUPEMAILADDR"/>
    <tableColumn id="12" xr3:uid="{AE4AB860-3E79-440F-9788-272ACB713BC2}" name="Manager JobTitle"/>
    <tableColumn id="13" xr3:uid="{49844865-4681-46E2-951E-8345B8D0184F}" name="Employee Type ID"/>
    <tableColumn id="14" xr3:uid="{18331AB3-AE79-4354-B537-1B1CFECA4055}" name="Hire Date"/>
    <tableColumn id="15" xr3:uid="{EDF0B903-13A5-431B-9D9E-EE6951B47EBA}" name="Domain ID"/>
    <tableColumn id="18" xr3:uid="{F9F5F60C-1269-4602-89D5-FF53AB8C2F04}" name="Certification Title"/>
    <tableColumn id="24" xr3:uid="{70885FE9-BF2C-444A-BEB9-54BB4010DA6A}" name="Healthcare Certification Date" dataDxfId="2"/>
    <tableColumn id="25" xr3:uid="{5888C70D-72C2-4292-BC2A-7A15997DF1E9}" name="HC Qtr Certified" dataDxfId="1">
      <calculatedColumnFormula>"FY"&amp;YEAR(R2)-IF(MONTH(R2)&lt;4,1,0)&amp;" "&amp;CHOOSE(MATCH(MONTH(R2),{1,4,7,10}),"Q4","Q1","Q2","Q3")</calculatedColumnFormula>
    </tableColumn>
    <tableColumn id="26" xr3:uid="{5C33DCD2-2B3F-4399-8CEB-750948111A65}" name="HC Certified (Resmie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8FCD-FA24-4849-AC79-BFCF63E0FF44}">
  <dimension ref="A1:U72"/>
  <sheetViews>
    <sheetView tabSelected="1" zoomScale="85" zoomScaleNormal="85" workbookViewId="0"/>
  </sheetViews>
  <sheetFormatPr defaultRowHeight="14.45"/>
  <cols>
    <col min="1" max="1" width="9.85546875" bestFit="1" customWidth="1"/>
    <col min="2" max="2" width="18.42578125" style="6" bestFit="1" customWidth="1"/>
    <col min="3" max="3" width="12.140625" customWidth="1"/>
    <col min="4" max="4" width="19.85546875" bestFit="1" customWidth="1"/>
    <col min="5" max="5" width="33" customWidth="1"/>
    <col min="6" max="6" width="53.5703125" bestFit="1" customWidth="1"/>
    <col min="7" max="7" width="24.5703125" customWidth="1"/>
    <col min="8" max="8" width="35.28515625" customWidth="1"/>
    <col min="9" max="9" width="12.85546875" customWidth="1"/>
    <col min="10" max="10" width="19" customWidth="1"/>
    <col min="11" max="11" width="18.7109375" customWidth="1"/>
    <col min="12" max="12" width="36.42578125" customWidth="1"/>
    <col min="13" max="13" width="34.85546875" customWidth="1"/>
    <col min="14" max="14" width="18.28515625" customWidth="1"/>
    <col min="15" max="15" width="11.140625" customWidth="1"/>
    <col min="16" max="16" width="11.85546875" customWidth="1"/>
    <col min="17" max="17" width="37.140625" customWidth="1"/>
    <col min="18" max="18" width="44" style="2" bestFit="1" customWidth="1"/>
    <col min="19" max="19" width="31.140625" style="2" bestFit="1" customWidth="1"/>
    <col min="20" max="20" width="31.42578125" style="2" bestFit="1" customWidth="1"/>
    <col min="21" max="21" width="13.85546875" style="2" customWidth="1"/>
  </cols>
  <sheetData>
    <row r="1" spans="1:21">
      <c r="A1" t="s">
        <v>0</v>
      </c>
      <c r="B1" s="6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s="3" t="s">
        <v>18</v>
      </c>
      <c r="T1" s="4" t="s">
        <v>19</v>
      </c>
      <c r="U1"/>
    </row>
    <row r="2" spans="1:21" ht="16.5">
      <c r="A2">
        <v>121515</v>
      </c>
      <c r="B2" s="7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s="1">
        <v>43241</v>
      </c>
      <c r="P2" t="s">
        <v>32</v>
      </c>
      <c r="Q2" t="s">
        <v>33</v>
      </c>
      <c r="R2" s="11">
        <v>46245</v>
      </c>
      <c r="S2" s="9" t="str">
        <f>"FY"&amp;YEAR(R2)-IF(MONTH(R2)&lt;4,1,0)&amp;" "&amp;CHOOSE(MATCH(MONTH(R2),{1,4,7,10}),"Q4","Q1","Q2","Q3")</f>
        <v>FY2026 Q2</v>
      </c>
      <c r="T2" s="8" t="s">
        <v>20</v>
      </c>
      <c r="U2"/>
    </row>
    <row r="3" spans="1:21" ht="16.5">
      <c r="A3">
        <v>111259</v>
      </c>
      <c r="B3" s="7" t="s">
        <v>20</v>
      </c>
      <c r="C3" t="s">
        <v>34</v>
      </c>
      <c r="D3" t="s">
        <v>35</v>
      </c>
      <c r="E3" t="s">
        <v>36</v>
      </c>
      <c r="F3" t="s">
        <v>24</v>
      </c>
      <c r="G3" t="s">
        <v>25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30</v>
      </c>
      <c r="N3" t="s">
        <v>31</v>
      </c>
      <c r="O3" s="1">
        <v>40330</v>
      </c>
      <c r="P3" t="s">
        <v>32</v>
      </c>
      <c r="Q3" t="s">
        <v>33</v>
      </c>
      <c r="R3" s="11">
        <v>46229</v>
      </c>
      <c r="S3" s="9" t="str">
        <f>"FY"&amp;YEAR(R3)-IF(MONTH(R3)&lt;4,1,0)&amp;" "&amp;CHOOSE(MATCH(MONTH(R3),{1,4,7,10}),"Q4","Q1","Q2","Q3")</f>
        <v>FY2026 Q2</v>
      </c>
      <c r="T3" s="8" t="s">
        <v>20</v>
      </c>
      <c r="U3"/>
    </row>
    <row r="4" spans="1:21" ht="16.5">
      <c r="A4">
        <v>119635</v>
      </c>
      <c r="B4" s="7" t="s">
        <v>20</v>
      </c>
      <c r="C4" t="s">
        <v>41</v>
      </c>
      <c r="D4" t="s">
        <v>42</v>
      </c>
      <c r="E4" t="s">
        <v>43</v>
      </c>
      <c r="F4" t="s">
        <v>44</v>
      </c>
      <c r="G4" t="s">
        <v>25</v>
      </c>
      <c r="H4" t="s">
        <v>45</v>
      </c>
      <c r="I4" t="s">
        <v>45</v>
      </c>
      <c r="J4" t="s">
        <v>46</v>
      </c>
      <c r="K4" t="s">
        <v>42</v>
      </c>
      <c r="L4" t="s">
        <v>47</v>
      </c>
      <c r="M4" t="s">
        <v>48</v>
      </c>
      <c r="N4" t="s">
        <v>31</v>
      </c>
      <c r="O4" s="1">
        <v>43996</v>
      </c>
      <c r="P4" t="s">
        <v>32</v>
      </c>
      <c r="Q4" t="s">
        <v>33</v>
      </c>
      <c r="R4" s="11">
        <v>46224</v>
      </c>
      <c r="S4" s="9" t="str">
        <f>"FY"&amp;YEAR(R4)-IF(MONTH(R4)&lt;4,1,0)&amp;" "&amp;CHOOSE(MATCH(MONTH(R4),{1,4,7,10}),"Q4","Q1","Q2","Q3")</f>
        <v>FY2026 Q2</v>
      </c>
      <c r="T4" s="8" t="s">
        <v>20</v>
      </c>
      <c r="U4"/>
    </row>
    <row r="5" spans="1:21" ht="16.5">
      <c r="A5">
        <v>123690</v>
      </c>
      <c r="B5" s="7" t="s">
        <v>20</v>
      </c>
      <c r="C5" t="s">
        <v>49</v>
      </c>
      <c r="D5" t="s">
        <v>50</v>
      </c>
      <c r="E5" t="s">
        <v>51</v>
      </c>
      <c r="F5" t="s">
        <v>44</v>
      </c>
      <c r="G5" t="s">
        <v>25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30</v>
      </c>
      <c r="N5" t="s">
        <v>31</v>
      </c>
      <c r="O5" s="1">
        <v>43844</v>
      </c>
      <c r="P5" t="s">
        <v>32</v>
      </c>
      <c r="Q5" t="s">
        <v>33</v>
      </c>
      <c r="R5" s="11">
        <v>46232</v>
      </c>
      <c r="S5" s="9" t="str">
        <f>"FY"&amp;YEAR(R5)-IF(MONTH(R5)&lt;4,1,0)&amp;" "&amp;CHOOSE(MATCH(MONTH(R5),{1,4,7,10}),"Q4","Q1","Q2","Q3")</f>
        <v>FY2026 Q2</v>
      </c>
      <c r="T5" s="8" t="s">
        <v>20</v>
      </c>
      <c r="U5"/>
    </row>
    <row r="6" spans="1:21" ht="16.5">
      <c r="A6">
        <v>127116</v>
      </c>
      <c r="B6" s="7" t="s">
        <v>20</v>
      </c>
      <c r="C6" t="s">
        <v>52</v>
      </c>
      <c r="D6" t="s">
        <v>53</v>
      </c>
      <c r="E6" t="s">
        <v>54</v>
      </c>
      <c r="F6" t="s">
        <v>44</v>
      </c>
      <c r="G6" t="s">
        <v>25</v>
      </c>
      <c r="H6" t="s">
        <v>55</v>
      </c>
      <c r="I6" t="s">
        <v>55</v>
      </c>
      <c r="J6" t="s">
        <v>56</v>
      </c>
      <c r="K6" t="s">
        <v>42</v>
      </c>
      <c r="L6" t="s">
        <v>57</v>
      </c>
      <c r="M6" t="s">
        <v>30</v>
      </c>
      <c r="N6" t="s">
        <v>31</v>
      </c>
      <c r="O6" s="1">
        <v>45231</v>
      </c>
      <c r="P6" t="s">
        <v>32</v>
      </c>
      <c r="Q6" t="s">
        <v>33</v>
      </c>
      <c r="R6" s="11">
        <v>46218</v>
      </c>
      <c r="S6" s="9" t="str">
        <f>"FY"&amp;YEAR(R6)-IF(MONTH(R6)&lt;4,1,0)&amp;" "&amp;CHOOSE(MATCH(MONTH(R6),{1,4,7,10}),"Q4","Q1","Q2","Q3")</f>
        <v>FY2026 Q2</v>
      </c>
      <c r="T6" s="8" t="s">
        <v>20</v>
      </c>
      <c r="U6"/>
    </row>
    <row r="7" spans="1:21" ht="16.5">
      <c r="A7">
        <v>121571</v>
      </c>
      <c r="B7" s="6" t="s">
        <v>20</v>
      </c>
      <c r="C7" t="s">
        <v>58</v>
      </c>
      <c r="D7" t="s">
        <v>59</v>
      </c>
      <c r="E7" t="s">
        <v>60</v>
      </c>
      <c r="F7" t="s">
        <v>24</v>
      </c>
      <c r="G7" t="s">
        <v>25</v>
      </c>
      <c r="H7" t="s">
        <v>61</v>
      </c>
      <c r="I7" t="s">
        <v>61</v>
      </c>
      <c r="J7" t="s">
        <v>62</v>
      </c>
      <c r="K7" t="s">
        <v>63</v>
      </c>
      <c r="L7" t="s">
        <v>64</v>
      </c>
      <c r="M7" t="s">
        <v>30</v>
      </c>
      <c r="N7" t="s">
        <v>31</v>
      </c>
      <c r="O7" s="1">
        <v>43262</v>
      </c>
      <c r="P7" t="s">
        <v>32</v>
      </c>
      <c r="Q7" t="s">
        <v>33</v>
      </c>
      <c r="R7" s="11">
        <v>46247</v>
      </c>
      <c r="S7" s="9" t="str">
        <f>"FY"&amp;YEAR(R7)-IF(MONTH(R7)&lt;4,1,0)&amp;" "&amp;CHOOSE(MATCH(MONTH(R7),{1,4,7,10}),"Q4","Q1","Q2","Q3")</f>
        <v>FY2026 Q2</v>
      </c>
      <c r="T7" s="8" t="s">
        <v>20</v>
      </c>
      <c r="U7"/>
    </row>
    <row r="8" spans="1:21">
      <c r="A8">
        <v>129182</v>
      </c>
      <c r="B8" s="6" t="s">
        <v>20</v>
      </c>
      <c r="C8" t="s">
        <v>65</v>
      </c>
      <c r="D8" t="s">
        <v>66</v>
      </c>
      <c r="E8" t="s">
        <v>67</v>
      </c>
      <c r="F8" t="s">
        <v>68</v>
      </c>
      <c r="G8" t="s">
        <v>25</v>
      </c>
      <c r="H8" t="s">
        <v>37</v>
      </c>
      <c r="I8" t="s">
        <v>37</v>
      </c>
      <c r="J8" t="s">
        <v>34</v>
      </c>
      <c r="K8" t="s">
        <v>35</v>
      </c>
      <c r="L8" t="s">
        <v>36</v>
      </c>
      <c r="M8" t="s">
        <v>24</v>
      </c>
      <c r="N8" t="s">
        <v>31</v>
      </c>
      <c r="O8" s="1">
        <v>45999</v>
      </c>
      <c r="P8" t="s">
        <v>32</v>
      </c>
      <c r="Q8" t="s">
        <v>33</v>
      </c>
      <c r="R8" s="11">
        <v>46241</v>
      </c>
      <c r="S8" s="2" t="str">
        <f>"FY"&amp;YEAR(R8)-IF(MONTH(R8)&lt;4,1,0)&amp;" "&amp;CHOOSE(MATCH(MONTH(R8),{1,4,7,10}),"Q4","Q1","Q2","Q3")</f>
        <v>FY2026 Q2</v>
      </c>
      <c r="T8" s="8" t="s">
        <v>20</v>
      </c>
      <c r="U8"/>
    </row>
    <row r="9" spans="1:21" ht="16.5">
      <c r="A9">
        <v>124443</v>
      </c>
      <c r="B9" s="7" t="s">
        <v>20</v>
      </c>
      <c r="C9" t="s">
        <v>69</v>
      </c>
      <c r="D9" t="s">
        <v>70</v>
      </c>
      <c r="E9" t="s">
        <v>71</v>
      </c>
      <c r="F9" t="s">
        <v>24</v>
      </c>
      <c r="G9" t="s">
        <v>25</v>
      </c>
      <c r="H9" t="s">
        <v>26</v>
      </c>
      <c r="I9" t="s">
        <v>26</v>
      </c>
      <c r="J9" t="s">
        <v>72</v>
      </c>
      <c r="K9" t="s">
        <v>73</v>
      </c>
      <c r="L9" t="s">
        <v>74</v>
      </c>
      <c r="M9" t="s">
        <v>30</v>
      </c>
      <c r="N9" t="s">
        <v>31</v>
      </c>
      <c r="O9" s="1">
        <v>44312</v>
      </c>
      <c r="P9" t="s">
        <v>32</v>
      </c>
      <c r="Q9" t="s">
        <v>33</v>
      </c>
      <c r="R9" s="11">
        <v>46230</v>
      </c>
      <c r="S9" s="9" t="str">
        <f>"FY"&amp;YEAR(R9)-IF(MONTH(R9)&lt;4,1,0)&amp;" "&amp;CHOOSE(MATCH(MONTH(R9),{1,4,7,10}),"Q4","Q1","Q2","Q3")</f>
        <v>FY2026 Q2</v>
      </c>
      <c r="T9" s="8" t="s">
        <v>20</v>
      </c>
      <c r="U9"/>
    </row>
    <row r="10" spans="1:21">
      <c r="A10">
        <v>105722</v>
      </c>
      <c r="B10" s="7" t="s">
        <v>20</v>
      </c>
      <c r="C10" t="s">
        <v>75</v>
      </c>
      <c r="D10" t="s">
        <v>76</v>
      </c>
      <c r="E10" t="s">
        <v>77</v>
      </c>
      <c r="F10" t="s">
        <v>78</v>
      </c>
      <c r="G10" t="s">
        <v>25</v>
      </c>
      <c r="H10" t="s">
        <v>45</v>
      </c>
      <c r="I10" t="s">
        <v>45</v>
      </c>
      <c r="J10" t="s">
        <v>41</v>
      </c>
      <c r="K10" t="s">
        <v>42</v>
      </c>
      <c r="L10" t="s">
        <v>43</v>
      </c>
      <c r="M10" t="s">
        <v>44</v>
      </c>
      <c r="N10" t="s">
        <v>31</v>
      </c>
      <c r="O10" s="1">
        <v>34169</v>
      </c>
      <c r="P10" t="s">
        <v>32</v>
      </c>
      <c r="Q10" t="s">
        <v>33</v>
      </c>
      <c r="R10" s="10"/>
      <c r="T10" s="5" t="s">
        <v>79</v>
      </c>
      <c r="U10"/>
    </row>
    <row r="11" spans="1:21">
      <c r="A11">
        <v>129377</v>
      </c>
      <c r="B11" s="6" t="s">
        <v>20</v>
      </c>
      <c r="C11" t="s">
        <v>80</v>
      </c>
      <c r="D11" t="s">
        <v>81</v>
      </c>
      <c r="E11" t="s">
        <v>82</v>
      </c>
      <c r="F11" t="s">
        <v>83</v>
      </c>
      <c r="G11" t="s">
        <v>25</v>
      </c>
      <c r="H11" t="s">
        <v>37</v>
      </c>
      <c r="I11" t="s">
        <v>37</v>
      </c>
      <c r="J11" t="s">
        <v>84</v>
      </c>
      <c r="K11" t="s">
        <v>85</v>
      </c>
      <c r="L11" t="s">
        <v>86</v>
      </c>
      <c r="M11" t="s">
        <v>87</v>
      </c>
      <c r="N11" t="s">
        <v>31</v>
      </c>
      <c r="O11" s="1">
        <v>46132</v>
      </c>
      <c r="P11" t="s">
        <v>32</v>
      </c>
      <c r="Q11" t="s">
        <v>33</v>
      </c>
      <c r="R11" s="11"/>
      <c r="T11" s="5" t="s">
        <v>79</v>
      </c>
      <c r="U11"/>
    </row>
    <row r="12" spans="1:21">
      <c r="A12">
        <v>129570</v>
      </c>
      <c r="B12" s="6" t="s">
        <v>20</v>
      </c>
      <c r="C12" t="s">
        <v>88</v>
      </c>
      <c r="D12" t="s">
        <v>89</v>
      </c>
      <c r="E12" t="s">
        <v>90</v>
      </c>
      <c r="F12" t="s">
        <v>91</v>
      </c>
      <c r="G12" t="s">
        <v>25</v>
      </c>
      <c r="H12" t="s">
        <v>61</v>
      </c>
      <c r="I12" t="s">
        <v>61</v>
      </c>
      <c r="J12" t="s">
        <v>92</v>
      </c>
      <c r="K12" t="s">
        <v>93</v>
      </c>
      <c r="L12" t="s">
        <v>94</v>
      </c>
      <c r="M12" t="s">
        <v>24</v>
      </c>
      <c r="N12" t="s">
        <v>31</v>
      </c>
      <c r="O12" s="1">
        <v>46209</v>
      </c>
      <c r="P12" t="s">
        <v>32</v>
      </c>
      <c r="Q12" t="s">
        <v>33</v>
      </c>
      <c r="R12" s="11"/>
      <c r="T12" s="5" t="s">
        <v>79</v>
      </c>
      <c r="U12"/>
    </row>
    <row r="13" spans="1:21">
      <c r="A13">
        <v>126128</v>
      </c>
      <c r="B13" s="7" t="s">
        <v>20</v>
      </c>
      <c r="C13" t="s">
        <v>95</v>
      </c>
      <c r="D13" t="s">
        <v>96</v>
      </c>
      <c r="E13" t="s">
        <v>97</v>
      </c>
      <c r="F13" t="s">
        <v>24</v>
      </c>
      <c r="G13" t="s">
        <v>25</v>
      </c>
      <c r="H13" t="s">
        <v>61</v>
      </c>
      <c r="I13" t="s">
        <v>61</v>
      </c>
      <c r="J13" t="s">
        <v>98</v>
      </c>
      <c r="K13" t="s">
        <v>99</v>
      </c>
      <c r="L13" t="s">
        <v>100</v>
      </c>
      <c r="M13" t="s">
        <v>30</v>
      </c>
      <c r="N13" t="s">
        <v>31</v>
      </c>
      <c r="O13" s="1">
        <v>44907</v>
      </c>
      <c r="P13" t="s">
        <v>32</v>
      </c>
      <c r="Q13" t="s">
        <v>33</v>
      </c>
      <c r="R13" s="11"/>
      <c r="T13" s="5" t="s">
        <v>79</v>
      </c>
      <c r="U13"/>
    </row>
    <row r="14" spans="1:21">
      <c r="A14">
        <v>106003</v>
      </c>
      <c r="B14" s="6" t="s">
        <v>20</v>
      </c>
      <c r="C14" t="s">
        <v>101</v>
      </c>
      <c r="D14" t="s">
        <v>102</v>
      </c>
      <c r="E14" t="s">
        <v>103</v>
      </c>
      <c r="F14" t="s">
        <v>104</v>
      </c>
      <c r="G14" t="s">
        <v>25</v>
      </c>
      <c r="H14" t="s">
        <v>45</v>
      </c>
      <c r="I14" t="s">
        <v>45</v>
      </c>
      <c r="J14" t="s">
        <v>41</v>
      </c>
      <c r="K14" t="s">
        <v>42</v>
      </c>
      <c r="L14" t="s">
        <v>43</v>
      </c>
      <c r="M14" t="s">
        <v>44</v>
      </c>
      <c r="N14" t="s">
        <v>31</v>
      </c>
      <c r="O14" s="1">
        <v>37967</v>
      </c>
      <c r="P14" t="s">
        <v>32</v>
      </c>
      <c r="Q14" t="s">
        <v>33</v>
      </c>
      <c r="R14" s="11"/>
      <c r="T14" s="5" t="s">
        <v>79</v>
      </c>
      <c r="U14"/>
    </row>
    <row r="15" spans="1:21">
      <c r="A15">
        <v>115144</v>
      </c>
      <c r="B15" s="7" t="s">
        <v>20</v>
      </c>
      <c r="C15" t="s">
        <v>105</v>
      </c>
      <c r="D15" t="s">
        <v>106</v>
      </c>
      <c r="E15" t="s">
        <v>107</v>
      </c>
      <c r="F15" t="s">
        <v>108</v>
      </c>
      <c r="G15" t="s">
        <v>25</v>
      </c>
      <c r="H15" t="s">
        <v>26</v>
      </c>
      <c r="I15" t="s">
        <v>26</v>
      </c>
      <c r="J15" t="s">
        <v>27</v>
      </c>
      <c r="K15" t="s">
        <v>28</v>
      </c>
      <c r="L15" t="s">
        <v>29</v>
      </c>
      <c r="M15" t="s">
        <v>30</v>
      </c>
      <c r="N15" t="s">
        <v>31</v>
      </c>
      <c r="O15" s="1">
        <v>41362</v>
      </c>
      <c r="P15" t="s">
        <v>32</v>
      </c>
      <c r="Q15" t="s">
        <v>33</v>
      </c>
      <c r="R15" s="11"/>
      <c r="T15" s="5" t="s">
        <v>79</v>
      </c>
      <c r="U15"/>
    </row>
    <row r="16" spans="1:21">
      <c r="A16">
        <v>128348</v>
      </c>
      <c r="B16" s="6" t="s">
        <v>20</v>
      </c>
      <c r="C16" t="s">
        <v>109</v>
      </c>
      <c r="D16" t="s">
        <v>110</v>
      </c>
      <c r="E16" t="s">
        <v>111</v>
      </c>
      <c r="F16" t="s">
        <v>112</v>
      </c>
      <c r="G16" t="s">
        <v>25</v>
      </c>
      <c r="H16" t="s">
        <v>61</v>
      </c>
      <c r="I16" t="s">
        <v>61</v>
      </c>
      <c r="J16" t="s">
        <v>113</v>
      </c>
      <c r="K16" t="s">
        <v>114</v>
      </c>
      <c r="L16" t="s">
        <v>115</v>
      </c>
      <c r="M16" t="s">
        <v>24</v>
      </c>
      <c r="N16" t="s">
        <v>31</v>
      </c>
      <c r="O16" s="1">
        <v>45642</v>
      </c>
      <c r="P16" t="s">
        <v>32</v>
      </c>
      <c r="Q16" t="s">
        <v>33</v>
      </c>
      <c r="R16" s="11"/>
      <c r="T16" s="5" t="s">
        <v>79</v>
      </c>
      <c r="U16"/>
    </row>
    <row r="17" spans="1:21">
      <c r="A17">
        <v>128013</v>
      </c>
      <c r="B17" s="7" t="s">
        <v>20</v>
      </c>
      <c r="C17" t="s">
        <v>116</v>
      </c>
      <c r="D17" t="s">
        <v>117</v>
      </c>
      <c r="E17" t="s">
        <v>118</v>
      </c>
      <c r="F17" t="s">
        <v>68</v>
      </c>
      <c r="G17" t="s">
        <v>25</v>
      </c>
      <c r="H17" t="s">
        <v>37</v>
      </c>
      <c r="I17" t="s">
        <v>37</v>
      </c>
      <c r="J17" t="s">
        <v>49</v>
      </c>
      <c r="K17" t="s">
        <v>50</v>
      </c>
      <c r="L17" t="s">
        <v>51</v>
      </c>
      <c r="M17" t="s">
        <v>44</v>
      </c>
      <c r="N17" t="s">
        <v>31</v>
      </c>
      <c r="O17" s="1">
        <v>45544</v>
      </c>
      <c r="P17" t="s">
        <v>32</v>
      </c>
      <c r="Q17" t="s">
        <v>33</v>
      </c>
      <c r="R17" s="11"/>
      <c r="T17" s="5" t="s">
        <v>79</v>
      </c>
      <c r="U17"/>
    </row>
    <row r="18" spans="1:21">
      <c r="A18">
        <v>111249</v>
      </c>
      <c r="B18" s="6" t="s">
        <v>20</v>
      </c>
      <c r="C18" t="s">
        <v>113</v>
      </c>
      <c r="D18" t="s">
        <v>114</v>
      </c>
      <c r="E18" t="s">
        <v>115</v>
      </c>
      <c r="F18" t="s">
        <v>24</v>
      </c>
      <c r="G18" t="s">
        <v>25</v>
      </c>
      <c r="H18" t="s">
        <v>61</v>
      </c>
      <c r="I18" t="s">
        <v>61</v>
      </c>
      <c r="J18" t="s">
        <v>119</v>
      </c>
      <c r="K18" t="s">
        <v>120</v>
      </c>
      <c r="L18" t="s">
        <v>121</v>
      </c>
      <c r="M18" t="s">
        <v>30</v>
      </c>
      <c r="N18" t="s">
        <v>31</v>
      </c>
      <c r="O18" s="1">
        <v>40336</v>
      </c>
      <c r="P18" t="s">
        <v>32</v>
      </c>
      <c r="Q18" t="s">
        <v>33</v>
      </c>
      <c r="R18" s="11"/>
      <c r="T18" s="5" t="s">
        <v>79</v>
      </c>
      <c r="U18"/>
    </row>
    <row r="19" spans="1:21">
      <c r="A19">
        <v>123471</v>
      </c>
      <c r="B19" s="7" t="s">
        <v>20</v>
      </c>
      <c r="C19" t="s">
        <v>122</v>
      </c>
      <c r="D19" t="s">
        <v>35</v>
      </c>
      <c r="E19" t="s">
        <v>123</v>
      </c>
      <c r="F19" t="s">
        <v>78</v>
      </c>
      <c r="G19" t="s">
        <v>25</v>
      </c>
      <c r="H19" t="s">
        <v>55</v>
      </c>
      <c r="I19" t="s">
        <v>55</v>
      </c>
      <c r="J19" t="s">
        <v>52</v>
      </c>
      <c r="K19" t="s">
        <v>53</v>
      </c>
      <c r="L19" t="s">
        <v>54</v>
      </c>
      <c r="M19" t="s">
        <v>44</v>
      </c>
      <c r="N19" t="s">
        <v>31</v>
      </c>
      <c r="O19" s="1">
        <v>43753</v>
      </c>
      <c r="P19" t="s">
        <v>32</v>
      </c>
      <c r="Q19" t="s">
        <v>33</v>
      </c>
      <c r="R19" s="11"/>
      <c r="T19" s="5" t="s">
        <v>79</v>
      </c>
      <c r="U19"/>
    </row>
    <row r="20" spans="1:21">
      <c r="A20">
        <v>128969</v>
      </c>
      <c r="B20" s="7" t="s">
        <v>20</v>
      </c>
      <c r="C20" t="s">
        <v>124</v>
      </c>
      <c r="D20" t="s">
        <v>125</v>
      </c>
      <c r="E20" t="s">
        <v>126</v>
      </c>
      <c r="F20" t="s">
        <v>127</v>
      </c>
      <c r="G20" t="s">
        <v>25</v>
      </c>
      <c r="H20" t="s">
        <v>128</v>
      </c>
      <c r="I20" t="s">
        <v>128</v>
      </c>
      <c r="J20" t="s">
        <v>129</v>
      </c>
      <c r="K20" t="s">
        <v>130</v>
      </c>
      <c r="L20" t="s">
        <v>131</v>
      </c>
      <c r="M20" t="s">
        <v>44</v>
      </c>
      <c r="N20" t="s">
        <v>31</v>
      </c>
      <c r="O20" s="1">
        <v>45922</v>
      </c>
      <c r="P20" t="s">
        <v>32</v>
      </c>
      <c r="Q20" t="s">
        <v>33</v>
      </c>
      <c r="R20" s="11"/>
      <c r="T20" s="5" t="s">
        <v>79</v>
      </c>
      <c r="U20"/>
    </row>
    <row r="21" spans="1:21">
      <c r="A21">
        <v>129427</v>
      </c>
      <c r="B21" s="6" t="s">
        <v>20</v>
      </c>
      <c r="C21" t="s">
        <v>129</v>
      </c>
      <c r="D21" t="s">
        <v>130</v>
      </c>
      <c r="E21" t="s">
        <v>131</v>
      </c>
      <c r="F21" t="s">
        <v>44</v>
      </c>
      <c r="G21" t="s">
        <v>25</v>
      </c>
      <c r="H21" t="s">
        <v>128</v>
      </c>
      <c r="I21" t="s">
        <v>128</v>
      </c>
      <c r="J21" t="s">
        <v>132</v>
      </c>
      <c r="K21" t="s">
        <v>133</v>
      </c>
      <c r="L21" t="s">
        <v>134</v>
      </c>
      <c r="M21" t="s">
        <v>30</v>
      </c>
      <c r="N21" t="s">
        <v>31</v>
      </c>
      <c r="O21" s="1">
        <v>46146</v>
      </c>
      <c r="P21" t="s">
        <v>32</v>
      </c>
      <c r="Q21" t="s">
        <v>33</v>
      </c>
      <c r="R21" s="11"/>
      <c r="T21" s="5" t="s">
        <v>79</v>
      </c>
      <c r="U21"/>
    </row>
    <row r="22" spans="1:21">
      <c r="A22">
        <v>127473</v>
      </c>
      <c r="B22" s="6" t="s">
        <v>20</v>
      </c>
      <c r="C22" t="s">
        <v>135</v>
      </c>
      <c r="D22" t="s">
        <v>136</v>
      </c>
      <c r="E22" t="s">
        <v>137</v>
      </c>
      <c r="F22" t="s">
        <v>68</v>
      </c>
      <c r="G22" t="s">
        <v>25</v>
      </c>
      <c r="H22" t="s">
        <v>37</v>
      </c>
      <c r="I22" t="s">
        <v>37</v>
      </c>
      <c r="J22" t="s">
        <v>84</v>
      </c>
      <c r="K22" t="s">
        <v>85</v>
      </c>
      <c r="L22" t="s">
        <v>86</v>
      </c>
      <c r="M22" t="s">
        <v>87</v>
      </c>
      <c r="N22" t="s">
        <v>31</v>
      </c>
      <c r="O22" s="1">
        <v>45393</v>
      </c>
      <c r="P22" t="s">
        <v>32</v>
      </c>
      <c r="Q22" t="s">
        <v>33</v>
      </c>
      <c r="R22" s="11"/>
      <c r="T22" s="5" t="s">
        <v>79</v>
      </c>
      <c r="U22"/>
    </row>
    <row r="23" spans="1:21">
      <c r="A23">
        <v>124636</v>
      </c>
      <c r="B23" s="7" t="s">
        <v>20</v>
      </c>
      <c r="C23" t="s">
        <v>138</v>
      </c>
      <c r="D23" t="s">
        <v>139</v>
      </c>
      <c r="E23" t="s">
        <v>140</v>
      </c>
      <c r="F23" t="s">
        <v>78</v>
      </c>
      <c r="G23" t="s">
        <v>25</v>
      </c>
      <c r="H23" t="s">
        <v>61</v>
      </c>
      <c r="I23" t="s">
        <v>61</v>
      </c>
      <c r="J23" t="s">
        <v>141</v>
      </c>
      <c r="K23" t="s">
        <v>142</v>
      </c>
      <c r="L23" t="s">
        <v>143</v>
      </c>
      <c r="M23" t="s">
        <v>24</v>
      </c>
      <c r="N23" t="s">
        <v>31</v>
      </c>
      <c r="O23" s="1">
        <v>44396</v>
      </c>
      <c r="P23" t="s">
        <v>32</v>
      </c>
      <c r="Q23" t="s">
        <v>33</v>
      </c>
      <c r="R23" s="11"/>
      <c r="T23" s="5" t="s">
        <v>79</v>
      </c>
      <c r="U23"/>
    </row>
    <row r="24" spans="1:21">
      <c r="A24">
        <v>120999</v>
      </c>
      <c r="B24" s="6" t="s">
        <v>20</v>
      </c>
      <c r="C24" t="s">
        <v>144</v>
      </c>
      <c r="D24" t="s">
        <v>145</v>
      </c>
      <c r="E24" t="s">
        <v>146</v>
      </c>
      <c r="F24" t="s">
        <v>24</v>
      </c>
      <c r="G24" t="s">
        <v>25</v>
      </c>
      <c r="H24" t="s">
        <v>61</v>
      </c>
      <c r="I24" t="s">
        <v>61</v>
      </c>
      <c r="J24" t="s">
        <v>62</v>
      </c>
      <c r="K24" t="s">
        <v>63</v>
      </c>
      <c r="L24" t="s">
        <v>64</v>
      </c>
      <c r="M24" t="s">
        <v>30</v>
      </c>
      <c r="N24" t="s">
        <v>31</v>
      </c>
      <c r="O24" s="1">
        <v>44403</v>
      </c>
      <c r="P24" t="s">
        <v>32</v>
      </c>
      <c r="Q24" t="s">
        <v>33</v>
      </c>
      <c r="R24" s="11"/>
      <c r="T24" s="5" t="s">
        <v>79</v>
      </c>
      <c r="U24"/>
    </row>
    <row r="25" spans="1:21">
      <c r="A25">
        <v>103908</v>
      </c>
      <c r="B25" s="6" t="s">
        <v>20</v>
      </c>
      <c r="C25" t="s">
        <v>109</v>
      </c>
      <c r="D25" t="s">
        <v>147</v>
      </c>
      <c r="E25" t="s">
        <v>148</v>
      </c>
      <c r="F25" t="s">
        <v>24</v>
      </c>
      <c r="G25" t="s">
        <v>25</v>
      </c>
      <c r="H25" t="s">
        <v>61</v>
      </c>
      <c r="I25" t="s">
        <v>61</v>
      </c>
      <c r="J25" t="s">
        <v>62</v>
      </c>
      <c r="K25" t="s">
        <v>63</v>
      </c>
      <c r="L25" t="s">
        <v>64</v>
      </c>
      <c r="M25" t="s">
        <v>30</v>
      </c>
      <c r="N25" t="s">
        <v>31</v>
      </c>
      <c r="O25" s="1">
        <v>42352</v>
      </c>
      <c r="P25" t="s">
        <v>32</v>
      </c>
      <c r="Q25" t="s">
        <v>33</v>
      </c>
      <c r="R25" s="11"/>
      <c r="T25" s="5" t="s">
        <v>79</v>
      </c>
      <c r="U25"/>
    </row>
    <row r="26" spans="1:21">
      <c r="A26">
        <v>128321</v>
      </c>
      <c r="B26" s="7" t="s">
        <v>20</v>
      </c>
      <c r="C26" t="s">
        <v>149</v>
      </c>
      <c r="D26" t="s">
        <v>150</v>
      </c>
      <c r="E26" t="s">
        <v>151</v>
      </c>
      <c r="F26" t="s">
        <v>83</v>
      </c>
      <c r="G26" t="s">
        <v>25</v>
      </c>
      <c r="H26" t="s">
        <v>37</v>
      </c>
      <c r="I26" t="s">
        <v>37</v>
      </c>
      <c r="J26" t="s">
        <v>49</v>
      </c>
      <c r="K26" t="s">
        <v>50</v>
      </c>
      <c r="L26" t="s">
        <v>51</v>
      </c>
      <c r="M26" t="s">
        <v>44</v>
      </c>
      <c r="N26" t="s">
        <v>31</v>
      </c>
      <c r="O26" s="1">
        <v>45664</v>
      </c>
      <c r="P26" t="s">
        <v>32</v>
      </c>
      <c r="Q26" t="s">
        <v>33</v>
      </c>
      <c r="R26" s="11"/>
      <c r="T26" s="5" t="s">
        <v>79</v>
      </c>
      <c r="U26"/>
    </row>
    <row r="27" spans="1:21">
      <c r="A27">
        <v>129309</v>
      </c>
      <c r="B27" s="7" t="s">
        <v>20</v>
      </c>
      <c r="C27" t="s">
        <v>152</v>
      </c>
      <c r="D27" t="s">
        <v>153</v>
      </c>
      <c r="E27" t="s">
        <v>154</v>
      </c>
      <c r="F27" t="s">
        <v>155</v>
      </c>
      <c r="G27" t="s">
        <v>25</v>
      </c>
      <c r="H27" t="s">
        <v>61</v>
      </c>
      <c r="I27" t="s">
        <v>61</v>
      </c>
      <c r="J27" t="s">
        <v>95</v>
      </c>
      <c r="K27" t="s">
        <v>96</v>
      </c>
      <c r="L27" t="s">
        <v>97</v>
      </c>
      <c r="M27" t="s">
        <v>24</v>
      </c>
      <c r="N27" t="s">
        <v>31</v>
      </c>
      <c r="O27" s="1">
        <v>46113</v>
      </c>
      <c r="P27" t="s">
        <v>32</v>
      </c>
      <c r="Q27" t="s">
        <v>33</v>
      </c>
      <c r="R27" s="11"/>
      <c r="T27" s="5" t="s">
        <v>79</v>
      </c>
      <c r="U27"/>
    </row>
    <row r="28" spans="1:21">
      <c r="A28">
        <v>129105</v>
      </c>
      <c r="B28" s="6" t="s">
        <v>20</v>
      </c>
      <c r="C28" t="s">
        <v>156</v>
      </c>
      <c r="D28" t="s">
        <v>157</v>
      </c>
      <c r="E28" t="s">
        <v>158</v>
      </c>
      <c r="F28" t="s">
        <v>24</v>
      </c>
      <c r="G28" t="s">
        <v>25</v>
      </c>
      <c r="H28" t="s">
        <v>61</v>
      </c>
      <c r="I28" t="s">
        <v>61</v>
      </c>
      <c r="J28" t="s">
        <v>62</v>
      </c>
      <c r="K28" t="s">
        <v>63</v>
      </c>
      <c r="L28" t="s">
        <v>64</v>
      </c>
      <c r="M28" t="s">
        <v>30</v>
      </c>
      <c r="N28" t="s">
        <v>31</v>
      </c>
      <c r="O28" s="1">
        <v>45985</v>
      </c>
      <c r="P28" t="s">
        <v>32</v>
      </c>
      <c r="Q28" t="s">
        <v>33</v>
      </c>
      <c r="R28" s="11"/>
      <c r="T28" s="5" t="s">
        <v>79</v>
      </c>
      <c r="U28"/>
    </row>
    <row r="29" spans="1:21">
      <c r="A29">
        <v>106138</v>
      </c>
      <c r="B29" s="7" t="s">
        <v>20</v>
      </c>
      <c r="C29" t="s">
        <v>159</v>
      </c>
      <c r="D29" t="s">
        <v>160</v>
      </c>
      <c r="E29" t="s">
        <v>161</v>
      </c>
      <c r="F29" t="s">
        <v>127</v>
      </c>
      <c r="G29" t="s">
        <v>25</v>
      </c>
      <c r="H29" t="s">
        <v>45</v>
      </c>
      <c r="I29" t="s">
        <v>45</v>
      </c>
      <c r="J29" t="s">
        <v>41</v>
      </c>
      <c r="K29" t="s">
        <v>42</v>
      </c>
      <c r="L29" t="s">
        <v>43</v>
      </c>
      <c r="M29" t="s">
        <v>44</v>
      </c>
      <c r="N29" t="s">
        <v>31</v>
      </c>
      <c r="O29" s="1">
        <v>35492</v>
      </c>
      <c r="P29" t="s">
        <v>32</v>
      </c>
      <c r="Q29" t="s">
        <v>33</v>
      </c>
      <c r="R29" s="11"/>
      <c r="T29" s="5" t="s">
        <v>79</v>
      </c>
      <c r="U29"/>
    </row>
    <row r="30" spans="1:21">
      <c r="A30">
        <v>115424</v>
      </c>
      <c r="B30" s="7" t="s">
        <v>20</v>
      </c>
      <c r="C30" t="s">
        <v>162</v>
      </c>
      <c r="D30" t="s">
        <v>163</v>
      </c>
      <c r="E30" t="s">
        <v>164</v>
      </c>
      <c r="F30" t="s">
        <v>108</v>
      </c>
      <c r="G30" t="s">
        <v>25</v>
      </c>
      <c r="H30" t="s">
        <v>61</v>
      </c>
      <c r="I30" t="s">
        <v>61</v>
      </c>
      <c r="J30" t="s">
        <v>141</v>
      </c>
      <c r="K30" t="s">
        <v>142</v>
      </c>
      <c r="L30" t="s">
        <v>143</v>
      </c>
      <c r="M30" t="s">
        <v>24</v>
      </c>
      <c r="N30" t="s">
        <v>31</v>
      </c>
      <c r="O30" s="1">
        <v>41456</v>
      </c>
      <c r="P30" t="s">
        <v>32</v>
      </c>
      <c r="Q30" t="s">
        <v>33</v>
      </c>
      <c r="R30" s="11"/>
      <c r="T30" s="5" t="s">
        <v>79</v>
      </c>
      <c r="U30"/>
    </row>
    <row r="31" spans="1:21">
      <c r="A31">
        <v>125940</v>
      </c>
      <c r="B31" s="6" t="s">
        <v>20</v>
      </c>
      <c r="C31" t="s">
        <v>165</v>
      </c>
      <c r="D31" t="s">
        <v>166</v>
      </c>
      <c r="E31" t="s">
        <v>167</v>
      </c>
      <c r="F31" t="s">
        <v>68</v>
      </c>
      <c r="G31" t="s">
        <v>25</v>
      </c>
      <c r="H31" t="s">
        <v>37</v>
      </c>
      <c r="I31" t="s">
        <v>37</v>
      </c>
      <c r="J31" t="s">
        <v>84</v>
      </c>
      <c r="K31" t="s">
        <v>85</v>
      </c>
      <c r="L31" t="s">
        <v>86</v>
      </c>
      <c r="M31" t="s">
        <v>87</v>
      </c>
      <c r="N31" t="s">
        <v>31</v>
      </c>
      <c r="O31" s="1">
        <v>44825</v>
      </c>
      <c r="P31" t="s">
        <v>32</v>
      </c>
      <c r="Q31" t="s">
        <v>33</v>
      </c>
      <c r="R31" s="11"/>
      <c r="T31" s="5" t="s">
        <v>79</v>
      </c>
      <c r="U31"/>
    </row>
    <row r="32" spans="1:21">
      <c r="A32">
        <v>120343</v>
      </c>
      <c r="B32" s="7" t="s">
        <v>20</v>
      </c>
      <c r="C32" t="s">
        <v>168</v>
      </c>
      <c r="D32" t="s">
        <v>169</v>
      </c>
      <c r="E32" t="s">
        <v>170</v>
      </c>
      <c r="F32" t="s">
        <v>108</v>
      </c>
      <c r="G32" t="s">
        <v>25</v>
      </c>
      <c r="H32" t="s">
        <v>26</v>
      </c>
      <c r="I32" t="s">
        <v>26</v>
      </c>
      <c r="J32" t="s">
        <v>27</v>
      </c>
      <c r="K32" t="s">
        <v>28</v>
      </c>
      <c r="L32" t="s">
        <v>29</v>
      </c>
      <c r="M32" t="s">
        <v>30</v>
      </c>
      <c r="N32" t="s">
        <v>31</v>
      </c>
      <c r="O32" s="1">
        <v>42821</v>
      </c>
      <c r="P32" t="s">
        <v>32</v>
      </c>
      <c r="Q32" t="s">
        <v>33</v>
      </c>
      <c r="R32" s="11"/>
      <c r="T32" s="5" t="s">
        <v>79</v>
      </c>
      <c r="U32"/>
    </row>
    <row r="33" spans="1:21">
      <c r="A33">
        <v>103885</v>
      </c>
      <c r="B33" s="6" t="s">
        <v>20</v>
      </c>
      <c r="C33" t="s">
        <v>92</v>
      </c>
      <c r="D33" t="s">
        <v>93</v>
      </c>
      <c r="E33" t="s">
        <v>94</v>
      </c>
      <c r="F33" t="s">
        <v>24</v>
      </c>
      <c r="G33" t="s">
        <v>25</v>
      </c>
      <c r="H33" t="s">
        <v>61</v>
      </c>
      <c r="I33" t="s">
        <v>61</v>
      </c>
      <c r="J33" t="s">
        <v>119</v>
      </c>
      <c r="K33" t="s">
        <v>120</v>
      </c>
      <c r="L33" t="s">
        <v>121</v>
      </c>
      <c r="M33" t="s">
        <v>30</v>
      </c>
      <c r="N33" t="s">
        <v>31</v>
      </c>
      <c r="O33" s="1">
        <v>45950</v>
      </c>
      <c r="P33" t="s">
        <v>32</v>
      </c>
      <c r="Q33" t="s">
        <v>33</v>
      </c>
      <c r="R33" s="11"/>
      <c r="T33" s="5" t="s">
        <v>79</v>
      </c>
      <c r="U33"/>
    </row>
    <row r="34" spans="1:21">
      <c r="A34">
        <v>127835</v>
      </c>
      <c r="B34" s="6" t="s">
        <v>20</v>
      </c>
      <c r="C34" t="s">
        <v>171</v>
      </c>
      <c r="D34" t="s">
        <v>172</v>
      </c>
      <c r="E34" t="s">
        <v>173</v>
      </c>
      <c r="F34" t="s">
        <v>91</v>
      </c>
      <c r="G34" t="s">
        <v>25</v>
      </c>
      <c r="H34" t="s">
        <v>61</v>
      </c>
      <c r="I34" t="s">
        <v>61</v>
      </c>
      <c r="J34" t="s">
        <v>113</v>
      </c>
      <c r="K34" t="s">
        <v>114</v>
      </c>
      <c r="L34" t="s">
        <v>115</v>
      </c>
      <c r="M34" t="s">
        <v>24</v>
      </c>
      <c r="N34" t="s">
        <v>31</v>
      </c>
      <c r="O34" s="1">
        <v>45488</v>
      </c>
      <c r="P34" t="s">
        <v>32</v>
      </c>
      <c r="Q34" t="s">
        <v>33</v>
      </c>
      <c r="R34" s="11"/>
      <c r="T34" s="5" t="s">
        <v>79</v>
      </c>
      <c r="U34"/>
    </row>
    <row r="35" spans="1:21">
      <c r="A35">
        <v>102475</v>
      </c>
      <c r="B35" s="6" t="s">
        <v>20</v>
      </c>
      <c r="C35" t="s">
        <v>174</v>
      </c>
      <c r="D35" t="s">
        <v>175</v>
      </c>
      <c r="E35" t="s">
        <v>176</v>
      </c>
      <c r="F35" t="s">
        <v>24</v>
      </c>
      <c r="G35" t="s">
        <v>25</v>
      </c>
      <c r="H35" t="s">
        <v>61</v>
      </c>
      <c r="I35" t="s">
        <v>61</v>
      </c>
      <c r="J35" t="s">
        <v>98</v>
      </c>
      <c r="K35" t="s">
        <v>99</v>
      </c>
      <c r="L35" t="s">
        <v>100</v>
      </c>
      <c r="M35" t="s">
        <v>30</v>
      </c>
      <c r="N35" t="s">
        <v>31</v>
      </c>
      <c r="O35">
        <v>39580</v>
      </c>
      <c r="P35" t="s">
        <v>32</v>
      </c>
      <c r="Q35" t="s">
        <v>33</v>
      </c>
      <c r="R35" s="11"/>
      <c r="T35" s="5" t="s">
        <v>79</v>
      </c>
      <c r="U35"/>
    </row>
    <row r="36" spans="1:21">
      <c r="A36">
        <v>126595</v>
      </c>
      <c r="B36" s="7" t="s">
        <v>20</v>
      </c>
      <c r="C36" t="s">
        <v>177</v>
      </c>
      <c r="D36" t="s">
        <v>178</v>
      </c>
      <c r="E36" t="s">
        <v>179</v>
      </c>
      <c r="F36" t="s">
        <v>155</v>
      </c>
      <c r="G36" t="s">
        <v>25</v>
      </c>
      <c r="H36" t="s">
        <v>61</v>
      </c>
      <c r="I36" t="s">
        <v>61</v>
      </c>
      <c r="J36" t="s">
        <v>141</v>
      </c>
      <c r="K36" t="s">
        <v>142</v>
      </c>
      <c r="L36" t="s">
        <v>143</v>
      </c>
      <c r="M36" t="s">
        <v>24</v>
      </c>
      <c r="N36" t="s">
        <v>31</v>
      </c>
      <c r="O36" s="1">
        <v>45069</v>
      </c>
      <c r="P36" t="s">
        <v>32</v>
      </c>
      <c r="Q36" t="s">
        <v>33</v>
      </c>
      <c r="R36" s="11"/>
      <c r="T36" s="5" t="s">
        <v>79</v>
      </c>
      <c r="U36"/>
    </row>
    <row r="37" spans="1:21">
      <c r="A37">
        <v>128757</v>
      </c>
      <c r="B37" s="7" t="s">
        <v>20</v>
      </c>
      <c r="C37" t="s">
        <v>180</v>
      </c>
      <c r="D37" t="s">
        <v>181</v>
      </c>
      <c r="E37" t="s">
        <v>182</v>
      </c>
      <c r="F37" t="s">
        <v>127</v>
      </c>
      <c r="G37" t="s">
        <v>25</v>
      </c>
      <c r="H37" t="s">
        <v>37</v>
      </c>
      <c r="I37" t="s">
        <v>37</v>
      </c>
      <c r="J37" t="s">
        <v>49</v>
      </c>
      <c r="K37" t="s">
        <v>50</v>
      </c>
      <c r="L37" t="s">
        <v>51</v>
      </c>
      <c r="M37" t="s">
        <v>44</v>
      </c>
      <c r="N37" t="s">
        <v>31</v>
      </c>
      <c r="O37" s="1">
        <v>45796</v>
      </c>
      <c r="P37" t="s">
        <v>32</v>
      </c>
      <c r="Q37" t="s">
        <v>33</v>
      </c>
      <c r="R37" s="11"/>
      <c r="T37" s="5" t="s">
        <v>79</v>
      </c>
      <c r="U37"/>
    </row>
    <row r="38" spans="1:21">
      <c r="A38">
        <v>128941</v>
      </c>
      <c r="B38" s="6" t="s">
        <v>20</v>
      </c>
      <c r="C38" t="s">
        <v>183</v>
      </c>
      <c r="D38" t="s">
        <v>184</v>
      </c>
      <c r="E38" t="s">
        <v>185</v>
      </c>
      <c r="F38" t="s">
        <v>186</v>
      </c>
      <c r="G38" t="s">
        <v>25</v>
      </c>
      <c r="H38" t="s">
        <v>61</v>
      </c>
      <c r="I38" t="s">
        <v>61</v>
      </c>
      <c r="J38" t="s">
        <v>187</v>
      </c>
      <c r="K38" t="s">
        <v>188</v>
      </c>
      <c r="L38" t="s">
        <v>189</v>
      </c>
      <c r="M38" t="s">
        <v>24</v>
      </c>
      <c r="N38" t="s">
        <v>31</v>
      </c>
      <c r="O38" s="1">
        <v>45902</v>
      </c>
      <c r="P38" t="s">
        <v>32</v>
      </c>
      <c r="Q38" t="s">
        <v>33</v>
      </c>
      <c r="R38" s="11"/>
      <c r="T38" s="5" t="s">
        <v>79</v>
      </c>
    </row>
    <row r="39" spans="1:21">
      <c r="A39">
        <v>129148</v>
      </c>
      <c r="B39" s="7" t="s">
        <v>20</v>
      </c>
      <c r="C39" t="s">
        <v>190</v>
      </c>
      <c r="D39" t="s">
        <v>191</v>
      </c>
      <c r="E39" t="s">
        <v>192</v>
      </c>
      <c r="F39" t="s">
        <v>127</v>
      </c>
      <c r="G39" t="s">
        <v>25</v>
      </c>
      <c r="H39" t="s">
        <v>61</v>
      </c>
      <c r="I39" t="s">
        <v>61</v>
      </c>
      <c r="J39" t="s">
        <v>193</v>
      </c>
      <c r="K39" t="s">
        <v>194</v>
      </c>
      <c r="L39" t="s">
        <v>195</v>
      </c>
      <c r="M39" t="s">
        <v>24</v>
      </c>
      <c r="N39" t="s">
        <v>31</v>
      </c>
      <c r="O39" s="1">
        <v>45999</v>
      </c>
      <c r="P39" t="s">
        <v>32</v>
      </c>
      <c r="Q39" t="s">
        <v>33</v>
      </c>
      <c r="R39" s="11"/>
      <c r="T39" s="5" t="s">
        <v>79</v>
      </c>
    </row>
    <row r="40" spans="1:21">
      <c r="A40">
        <v>113193</v>
      </c>
      <c r="B40" s="6" t="s">
        <v>20</v>
      </c>
      <c r="C40" t="s">
        <v>196</v>
      </c>
      <c r="D40" t="s">
        <v>197</v>
      </c>
      <c r="E40" t="s">
        <v>198</v>
      </c>
      <c r="F40" t="s">
        <v>104</v>
      </c>
      <c r="G40" t="s">
        <v>25</v>
      </c>
      <c r="H40" t="s">
        <v>26</v>
      </c>
      <c r="I40" t="s">
        <v>26</v>
      </c>
      <c r="J40" t="s">
        <v>27</v>
      </c>
      <c r="K40" t="s">
        <v>28</v>
      </c>
      <c r="L40" t="s">
        <v>29</v>
      </c>
      <c r="M40" t="s">
        <v>30</v>
      </c>
      <c r="N40" t="s">
        <v>31</v>
      </c>
      <c r="O40" s="1">
        <v>36528</v>
      </c>
      <c r="P40" t="s">
        <v>32</v>
      </c>
      <c r="Q40" t="s">
        <v>33</v>
      </c>
      <c r="R40" s="11"/>
      <c r="T40" s="5" t="s">
        <v>79</v>
      </c>
    </row>
    <row r="41" spans="1:21">
      <c r="A41">
        <v>125769</v>
      </c>
      <c r="B41" s="6" t="s">
        <v>20</v>
      </c>
      <c r="C41" t="s">
        <v>132</v>
      </c>
      <c r="D41" t="s">
        <v>199</v>
      </c>
      <c r="E41" t="s">
        <v>200</v>
      </c>
      <c r="F41" t="s">
        <v>24</v>
      </c>
      <c r="G41" t="s">
        <v>25</v>
      </c>
      <c r="H41" t="s">
        <v>61</v>
      </c>
      <c r="I41" t="s">
        <v>61</v>
      </c>
      <c r="J41" t="s">
        <v>62</v>
      </c>
      <c r="K41" t="s">
        <v>63</v>
      </c>
      <c r="L41" t="s">
        <v>64</v>
      </c>
      <c r="M41" t="s">
        <v>30</v>
      </c>
      <c r="N41" t="s">
        <v>31</v>
      </c>
      <c r="O41" s="1">
        <v>44753</v>
      </c>
      <c r="P41" t="s">
        <v>32</v>
      </c>
      <c r="Q41" t="s">
        <v>33</v>
      </c>
      <c r="R41" s="11"/>
      <c r="T41" s="5" t="s">
        <v>79</v>
      </c>
    </row>
    <row r="42" spans="1:21">
      <c r="A42">
        <v>128291</v>
      </c>
      <c r="B42" s="7" t="s">
        <v>20</v>
      </c>
      <c r="C42" t="s">
        <v>201</v>
      </c>
      <c r="D42" t="s">
        <v>202</v>
      </c>
      <c r="E42" t="s">
        <v>203</v>
      </c>
      <c r="F42" t="s">
        <v>68</v>
      </c>
      <c r="G42" t="s">
        <v>25</v>
      </c>
      <c r="H42" t="s">
        <v>26</v>
      </c>
      <c r="I42" t="s">
        <v>26</v>
      </c>
      <c r="J42" t="s">
        <v>69</v>
      </c>
      <c r="K42" t="s">
        <v>70</v>
      </c>
      <c r="L42" t="s">
        <v>71</v>
      </c>
      <c r="M42" t="s">
        <v>24</v>
      </c>
      <c r="N42" t="s">
        <v>31</v>
      </c>
      <c r="O42" s="1">
        <v>45628</v>
      </c>
      <c r="P42" t="s">
        <v>32</v>
      </c>
      <c r="Q42" t="s">
        <v>33</v>
      </c>
      <c r="R42" s="11"/>
      <c r="T42" s="5" t="s">
        <v>79</v>
      </c>
    </row>
    <row r="43" spans="1:21">
      <c r="A43">
        <v>126110</v>
      </c>
      <c r="B43" s="7" t="s">
        <v>20</v>
      </c>
      <c r="C43" t="s">
        <v>204</v>
      </c>
      <c r="D43" t="s">
        <v>205</v>
      </c>
      <c r="E43" t="s">
        <v>206</v>
      </c>
      <c r="F43" t="s">
        <v>127</v>
      </c>
      <c r="G43" t="s">
        <v>25</v>
      </c>
      <c r="H43" t="s">
        <v>61</v>
      </c>
      <c r="I43" t="s">
        <v>61</v>
      </c>
      <c r="J43" t="s">
        <v>95</v>
      </c>
      <c r="K43" t="s">
        <v>96</v>
      </c>
      <c r="L43" t="s">
        <v>97</v>
      </c>
      <c r="M43" t="s">
        <v>24</v>
      </c>
      <c r="N43" t="s">
        <v>31</v>
      </c>
      <c r="O43" s="1">
        <v>44900</v>
      </c>
      <c r="P43" t="s">
        <v>32</v>
      </c>
      <c r="Q43" t="s">
        <v>33</v>
      </c>
      <c r="R43" s="11"/>
      <c r="T43" s="5" t="s">
        <v>79</v>
      </c>
    </row>
    <row r="44" spans="1:21">
      <c r="A44">
        <v>103900</v>
      </c>
      <c r="B44" s="6" t="s">
        <v>20</v>
      </c>
      <c r="C44" t="s">
        <v>207</v>
      </c>
      <c r="D44" t="s">
        <v>208</v>
      </c>
      <c r="E44" t="s">
        <v>209</v>
      </c>
      <c r="F44" t="s">
        <v>210</v>
      </c>
      <c r="G44" t="s">
        <v>25</v>
      </c>
      <c r="H44" t="s">
        <v>61</v>
      </c>
      <c r="I44" t="s">
        <v>61</v>
      </c>
      <c r="J44" t="s">
        <v>109</v>
      </c>
      <c r="K44" t="s">
        <v>147</v>
      </c>
      <c r="L44" t="s">
        <v>148</v>
      </c>
      <c r="M44" t="s">
        <v>24</v>
      </c>
      <c r="N44" t="s">
        <v>31</v>
      </c>
      <c r="O44" s="1">
        <v>39601</v>
      </c>
      <c r="P44" t="s">
        <v>32</v>
      </c>
      <c r="Q44" t="s">
        <v>33</v>
      </c>
      <c r="R44" s="11"/>
      <c r="T44" s="5" t="s">
        <v>79</v>
      </c>
    </row>
    <row r="45" spans="1:21">
      <c r="A45">
        <v>129646</v>
      </c>
      <c r="B45" s="6" t="s">
        <v>20</v>
      </c>
      <c r="C45" t="s">
        <v>211</v>
      </c>
      <c r="D45" t="s">
        <v>212</v>
      </c>
      <c r="E45" t="s">
        <v>213</v>
      </c>
      <c r="F45" t="s">
        <v>155</v>
      </c>
      <c r="G45" t="s">
        <v>25</v>
      </c>
      <c r="H45" t="s">
        <v>55</v>
      </c>
      <c r="I45" t="s">
        <v>55</v>
      </c>
      <c r="J45" t="s">
        <v>52</v>
      </c>
      <c r="K45" t="s">
        <v>53</v>
      </c>
      <c r="L45" t="s">
        <v>54</v>
      </c>
      <c r="M45" t="s">
        <v>44</v>
      </c>
      <c r="N45" t="s">
        <v>31</v>
      </c>
      <c r="O45" s="1">
        <v>46251</v>
      </c>
      <c r="P45" t="s">
        <v>32</v>
      </c>
      <c r="Q45" t="s">
        <v>33</v>
      </c>
      <c r="R45" s="11"/>
      <c r="T45" s="5" t="s">
        <v>79</v>
      </c>
    </row>
    <row r="46" spans="1:21">
      <c r="A46">
        <v>117563</v>
      </c>
      <c r="B46" s="7" t="s">
        <v>20</v>
      </c>
      <c r="C46" t="s">
        <v>180</v>
      </c>
      <c r="D46" t="s">
        <v>214</v>
      </c>
      <c r="E46" t="s">
        <v>215</v>
      </c>
      <c r="F46" t="s">
        <v>127</v>
      </c>
      <c r="G46" t="s">
        <v>25</v>
      </c>
      <c r="H46" t="s">
        <v>26</v>
      </c>
      <c r="I46" t="s">
        <v>26</v>
      </c>
      <c r="J46" t="s">
        <v>21</v>
      </c>
      <c r="K46" t="s">
        <v>22</v>
      </c>
      <c r="L46" t="s">
        <v>23</v>
      </c>
      <c r="M46" t="s">
        <v>24</v>
      </c>
      <c r="N46" t="s">
        <v>31</v>
      </c>
      <c r="O46" s="1">
        <v>42100</v>
      </c>
      <c r="P46" t="s">
        <v>32</v>
      </c>
      <c r="Q46" t="s">
        <v>33</v>
      </c>
      <c r="R46" s="11"/>
      <c r="T46" s="5" t="s">
        <v>79</v>
      </c>
    </row>
    <row r="47" spans="1:21">
      <c r="A47">
        <v>104738</v>
      </c>
      <c r="B47" s="7" t="s">
        <v>20</v>
      </c>
      <c r="C47" t="s">
        <v>216</v>
      </c>
      <c r="D47" t="s">
        <v>217</v>
      </c>
      <c r="E47" t="s">
        <v>218</v>
      </c>
      <c r="F47" t="s">
        <v>78</v>
      </c>
      <c r="G47" t="s">
        <v>25</v>
      </c>
      <c r="H47" t="s">
        <v>55</v>
      </c>
      <c r="I47" t="s">
        <v>55</v>
      </c>
      <c r="J47" t="s">
        <v>52</v>
      </c>
      <c r="K47" t="s">
        <v>53</v>
      </c>
      <c r="L47" t="s">
        <v>54</v>
      </c>
      <c r="M47" t="s">
        <v>44</v>
      </c>
      <c r="N47" t="s">
        <v>31</v>
      </c>
      <c r="O47" s="1">
        <v>39335</v>
      </c>
      <c r="P47" t="s">
        <v>32</v>
      </c>
      <c r="Q47" t="s">
        <v>33</v>
      </c>
      <c r="R47" s="11"/>
      <c r="T47" s="5" t="s">
        <v>79</v>
      </c>
    </row>
    <row r="48" spans="1:21">
      <c r="A48">
        <v>103915</v>
      </c>
      <c r="B48" s="7" t="s">
        <v>20</v>
      </c>
      <c r="C48" t="s">
        <v>27</v>
      </c>
      <c r="D48" t="s">
        <v>28</v>
      </c>
      <c r="E48" t="s">
        <v>29</v>
      </c>
      <c r="F48" t="s">
        <v>30</v>
      </c>
      <c r="G48" t="s">
        <v>25</v>
      </c>
      <c r="H48" t="s">
        <v>26</v>
      </c>
      <c r="I48" t="s">
        <v>26</v>
      </c>
      <c r="J48" t="s">
        <v>219</v>
      </c>
      <c r="K48" t="s">
        <v>220</v>
      </c>
      <c r="L48" t="s">
        <v>221</v>
      </c>
      <c r="M48" t="s">
        <v>48</v>
      </c>
      <c r="N48" t="s">
        <v>31</v>
      </c>
      <c r="O48" s="1">
        <v>36130</v>
      </c>
      <c r="P48" t="s">
        <v>32</v>
      </c>
      <c r="Q48" t="s">
        <v>33</v>
      </c>
      <c r="R48" s="11"/>
      <c r="T48" s="5" t="s">
        <v>79</v>
      </c>
    </row>
    <row r="49" spans="1:20">
      <c r="A49">
        <v>126904</v>
      </c>
      <c r="B49" s="7" t="s">
        <v>20</v>
      </c>
      <c r="C49" t="s">
        <v>222</v>
      </c>
      <c r="D49" t="s">
        <v>223</v>
      </c>
      <c r="E49" t="s">
        <v>224</v>
      </c>
      <c r="F49" t="s">
        <v>127</v>
      </c>
      <c r="G49" t="s">
        <v>25</v>
      </c>
      <c r="H49" t="s">
        <v>128</v>
      </c>
      <c r="I49" t="s">
        <v>128</v>
      </c>
      <c r="J49" t="s">
        <v>129</v>
      </c>
      <c r="K49" t="s">
        <v>130</v>
      </c>
      <c r="L49" t="s">
        <v>131</v>
      </c>
      <c r="M49" t="s">
        <v>44</v>
      </c>
      <c r="N49" t="s">
        <v>31</v>
      </c>
      <c r="O49" s="1">
        <v>45159</v>
      </c>
      <c r="P49" t="s">
        <v>32</v>
      </c>
      <c r="Q49" t="s">
        <v>33</v>
      </c>
      <c r="R49" s="11"/>
      <c r="T49" s="5" t="s">
        <v>79</v>
      </c>
    </row>
    <row r="50" spans="1:20">
      <c r="A50">
        <v>123862</v>
      </c>
      <c r="B50" s="6" t="s">
        <v>20</v>
      </c>
      <c r="C50" t="s">
        <v>225</v>
      </c>
      <c r="D50" t="s">
        <v>226</v>
      </c>
      <c r="E50" t="s">
        <v>227</v>
      </c>
      <c r="F50" t="s">
        <v>112</v>
      </c>
      <c r="G50" t="s">
        <v>25</v>
      </c>
      <c r="H50" t="s">
        <v>61</v>
      </c>
      <c r="I50" t="s">
        <v>61</v>
      </c>
      <c r="J50" t="s">
        <v>58</v>
      </c>
      <c r="K50" t="s">
        <v>59</v>
      </c>
      <c r="L50" t="s">
        <v>60</v>
      </c>
      <c r="M50" t="s">
        <v>24</v>
      </c>
      <c r="N50" t="s">
        <v>31</v>
      </c>
      <c r="O50" s="1">
        <v>45706</v>
      </c>
      <c r="P50" t="s">
        <v>32</v>
      </c>
      <c r="Q50" t="s">
        <v>33</v>
      </c>
      <c r="R50" s="11"/>
      <c r="T50" s="5" t="s">
        <v>79</v>
      </c>
    </row>
    <row r="51" spans="1:20">
      <c r="A51">
        <v>127826</v>
      </c>
      <c r="B51" s="7" t="s">
        <v>20</v>
      </c>
      <c r="C51" t="s">
        <v>228</v>
      </c>
      <c r="D51" t="s">
        <v>229</v>
      </c>
      <c r="E51" t="s">
        <v>230</v>
      </c>
      <c r="F51" t="s">
        <v>108</v>
      </c>
      <c r="G51" t="s">
        <v>25</v>
      </c>
      <c r="H51" t="s">
        <v>37</v>
      </c>
      <c r="I51" t="s">
        <v>37</v>
      </c>
      <c r="J51" t="s">
        <v>49</v>
      </c>
      <c r="K51" t="s">
        <v>50</v>
      </c>
      <c r="L51" t="s">
        <v>51</v>
      </c>
      <c r="M51" t="s">
        <v>44</v>
      </c>
      <c r="N51" t="s">
        <v>31</v>
      </c>
      <c r="O51" s="1">
        <v>45481</v>
      </c>
      <c r="P51" t="s">
        <v>32</v>
      </c>
      <c r="Q51" t="s">
        <v>33</v>
      </c>
      <c r="R51" s="11"/>
      <c r="T51" s="5" t="s">
        <v>79</v>
      </c>
    </row>
    <row r="52" spans="1:20" ht="16.5">
      <c r="A52">
        <v>127239</v>
      </c>
      <c r="B52" s="6" t="s">
        <v>20</v>
      </c>
      <c r="C52" t="s">
        <v>231</v>
      </c>
      <c r="D52" t="s">
        <v>232</v>
      </c>
      <c r="E52" t="s">
        <v>233</v>
      </c>
      <c r="F52" t="s">
        <v>108</v>
      </c>
      <c r="G52" t="s">
        <v>25</v>
      </c>
      <c r="H52" t="s">
        <v>55</v>
      </c>
      <c r="I52" t="s">
        <v>55</v>
      </c>
      <c r="J52" t="s">
        <v>52</v>
      </c>
      <c r="K52" t="s">
        <v>53</v>
      </c>
      <c r="L52" t="s">
        <v>54</v>
      </c>
      <c r="M52" t="s">
        <v>44</v>
      </c>
      <c r="N52" t="s">
        <v>31</v>
      </c>
      <c r="O52" s="1">
        <v>45278</v>
      </c>
      <c r="P52" t="s">
        <v>32</v>
      </c>
      <c r="Q52" t="s">
        <v>33</v>
      </c>
      <c r="R52" s="11"/>
      <c r="S52" s="9"/>
      <c r="T52" s="5" t="s">
        <v>79</v>
      </c>
    </row>
    <row r="53" spans="1:20">
      <c r="A53">
        <v>127857</v>
      </c>
      <c r="B53" t="s">
        <v>20</v>
      </c>
      <c r="C53" t="s">
        <v>187</v>
      </c>
      <c r="D53" t="s">
        <v>188</v>
      </c>
      <c r="E53" t="s">
        <v>189</v>
      </c>
      <c r="F53" t="s">
        <v>24</v>
      </c>
      <c r="G53" t="s">
        <v>25</v>
      </c>
      <c r="H53" t="s">
        <v>61</v>
      </c>
      <c r="I53" t="s">
        <v>61</v>
      </c>
      <c r="J53" t="s">
        <v>234</v>
      </c>
      <c r="K53" t="s">
        <v>235</v>
      </c>
      <c r="L53" t="s">
        <v>236</v>
      </c>
      <c r="M53" t="s">
        <v>30</v>
      </c>
      <c r="N53" t="s">
        <v>31</v>
      </c>
      <c r="O53" s="1">
        <v>45495</v>
      </c>
      <c r="P53" t="s">
        <v>32</v>
      </c>
      <c r="Q53" t="s">
        <v>33</v>
      </c>
      <c r="R53" s="11"/>
      <c r="S53"/>
      <c r="T53" s="5" t="s">
        <v>79</v>
      </c>
    </row>
    <row r="54" spans="1:20">
      <c r="A54">
        <v>129628</v>
      </c>
      <c r="B54" s="6" t="s">
        <v>20</v>
      </c>
      <c r="C54" t="s">
        <v>237</v>
      </c>
      <c r="D54" t="s">
        <v>238</v>
      </c>
      <c r="E54" t="s">
        <v>239</v>
      </c>
      <c r="F54" t="s">
        <v>127</v>
      </c>
      <c r="G54" t="s">
        <v>25</v>
      </c>
      <c r="H54" t="s">
        <v>128</v>
      </c>
      <c r="I54" t="s">
        <v>128</v>
      </c>
      <c r="J54" t="s">
        <v>129</v>
      </c>
      <c r="K54" t="s">
        <v>130</v>
      </c>
      <c r="L54" t="s">
        <v>131</v>
      </c>
      <c r="M54" t="s">
        <v>44</v>
      </c>
      <c r="N54" t="s">
        <v>31</v>
      </c>
      <c r="O54" s="1">
        <v>46237</v>
      </c>
      <c r="P54" t="s">
        <v>32</v>
      </c>
      <c r="Q54" t="s">
        <v>33</v>
      </c>
      <c r="R54" s="11"/>
      <c r="T54" s="5" t="s">
        <v>79</v>
      </c>
    </row>
    <row r="55" spans="1:20">
      <c r="A55">
        <v>102672</v>
      </c>
      <c r="B55" s="7" t="s">
        <v>20</v>
      </c>
      <c r="C55" t="s">
        <v>240</v>
      </c>
      <c r="D55" t="s">
        <v>241</v>
      </c>
      <c r="E55" t="s">
        <v>242</v>
      </c>
      <c r="F55" t="s">
        <v>24</v>
      </c>
      <c r="G55" t="s">
        <v>25</v>
      </c>
      <c r="H55" t="s">
        <v>26</v>
      </c>
      <c r="I55" t="s">
        <v>26</v>
      </c>
      <c r="J55" t="s">
        <v>27</v>
      </c>
      <c r="K55" t="s">
        <v>28</v>
      </c>
      <c r="L55" t="s">
        <v>29</v>
      </c>
      <c r="M55" t="s">
        <v>30</v>
      </c>
      <c r="N55" t="s">
        <v>31</v>
      </c>
      <c r="O55" s="1">
        <v>39542</v>
      </c>
      <c r="P55" t="s">
        <v>32</v>
      </c>
      <c r="Q55" t="s">
        <v>33</v>
      </c>
      <c r="R55" s="11"/>
      <c r="T55" s="5" t="s">
        <v>79</v>
      </c>
    </row>
    <row r="56" spans="1:20">
      <c r="A56">
        <v>126783</v>
      </c>
      <c r="B56" s="7" t="s">
        <v>20</v>
      </c>
      <c r="C56" t="s">
        <v>243</v>
      </c>
      <c r="D56" t="s">
        <v>244</v>
      </c>
      <c r="E56" t="s">
        <v>245</v>
      </c>
      <c r="F56" t="s">
        <v>127</v>
      </c>
      <c r="G56" t="s">
        <v>25</v>
      </c>
      <c r="H56" t="s">
        <v>26</v>
      </c>
      <c r="I56" t="s">
        <v>26</v>
      </c>
      <c r="J56" t="s">
        <v>27</v>
      </c>
      <c r="K56" t="s">
        <v>28</v>
      </c>
      <c r="L56" t="s">
        <v>29</v>
      </c>
      <c r="M56" t="s">
        <v>30</v>
      </c>
      <c r="N56" t="s">
        <v>31</v>
      </c>
      <c r="O56" s="1">
        <v>45117</v>
      </c>
      <c r="P56" t="s">
        <v>32</v>
      </c>
      <c r="Q56" t="s">
        <v>33</v>
      </c>
      <c r="R56" s="11"/>
      <c r="T56" s="5" t="s">
        <v>79</v>
      </c>
    </row>
    <row r="57" spans="1:20">
      <c r="A57">
        <v>129153</v>
      </c>
      <c r="B57" s="6" t="s">
        <v>20</v>
      </c>
      <c r="C57" t="s">
        <v>246</v>
      </c>
      <c r="D57" t="s">
        <v>247</v>
      </c>
      <c r="E57" t="s">
        <v>248</v>
      </c>
      <c r="F57" t="s">
        <v>68</v>
      </c>
      <c r="G57" t="s">
        <v>25</v>
      </c>
      <c r="H57" t="s">
        <v>37</v>
      </c>
      <c r="I57" t="s">
        <v>37</v>
      </c>
      <c r="J57" t="s">
        <v>84</v>
      </c>
      <c r="K57" t="s">
        <v>85</v>
      </c>
      <c r="L57" t="s">
        <v>86</v>
      </c>
      <c r="M57" t="s">
        <v>87</v>
      </c>
      <c r="N57" t="s">
        <v>31</v>
      </c>
      <c r="O57" s="1">
        <v>46006</v>
      </c>
      <c r="P57" t="s">
        <v>32</v>
      </c>
      <c r="Q57" t="s">
        <v>33</v>
      </c>
      <c r="R57" s="11"/>
      <c r="T57" s="5" t="s">
        <v>79</v>
      </c>
    </row>
    <row r="58" spans="1:20">
      <c r="A58">
        <v>128655</v>
      </c>
      <c r="B58" s="6" t="s">
        <v>20</v>
      </c>
      <c r="C58" t="s">
        <v>249</v>
      </c>
      <c r="D58" t="s">
        <v>250</v>
      </c>
      <c r="E58" t="s">
        <v>251</v>
      </c>
      <c r="F58" t="s">
        <v>112</v>
      </c>
      <c r="G58" t="s">
        <v>25</v>
      </c>
      <c r="H58" t="s">
        <v>61</v>
      </c>
      <c r="I58" t="s">
        <v>61</v>
      </c>
      <c r="J58" t="s">
        <v>144</v>
      </c>
      <c r="K58" t="s">
        <v>145</v>
      </c>
      <c r="L58" t="s">
        <v>146</v>
      </c>
      <c r="M58" t="s">
        <v>24</v>
      </c>
      <c r="N58" t="s">
        <v>31</v>
      </c>
      <c r="O58" s="1">
        <v>45761</v>
      </c>
      <c r="P58" t="s">
        <v>32</v>
      </c>
      <c r="Q58" t="s">
        <v>33</v>
      </c>
      <c r="R58" s="11"/>
      <c r="T58" s="5" t="s">
        <v>79</v>
      </c>
    </row>
    <row r="59" spans="1:20">
      <c r="A59">
        <v>129619</v>
      </c>
      <c r="B59" s="6" t="s">
        <v>20</v>
      </c>
      <c r="C59" t="s">
        <v>252</v>
      </c>
      <c r="D59" t="s">
        <v>253</v>
      </c>
      <c r="E59" t="s">
        <v>254</v>
      </c>
      <c r="F59" t="s">
        <v>155</v>
      </c>
      <c r="G59" t="s">
        <v>25</v>
      </c>
      <c r="H59" t="s">
        <v>45</v>
      </c>
      <c r="I59" t="s">
        <v>45</v>
      </c>
      <c r="J59" t="s">
        <v>41</v>
      </c>
      <c r="K59" t="s">
        <v>42</v>
      </c>
      <c r="L59" t="s">
        <v>43</v>
      </c>
      <c r="M59" t="s">
        <v>44</v>
      </c>
      <c r="N59" t="s">
        <v>31</v>
      </c>
      <c r="O59" s="1">
        <v>46237</v>
      </c>
      <c r="P59" t="s">
        <v>32</v>
      </c>
      <c r="Q59" t="s">
        <v>33</v>
      </c>
      <c r="R59" s="11"/>
      <c r="T59" s="5" t="s">
        <v>79</v>
      </c>
    </row>
    <row r="60" spans="1:20">
      <c r="A60">
        <v>128748</v>
      </c>
      <c r="B60" s="6" t="s">
        <v>20</v>
      </c>
      <c r="C60" t="s">
        <v>255</v>
      </c>
      <c r="D60" t="s">
        <v>256</v>
      </c>
      <c r="E60" t="s">
        <v>257</v>
      </c>
      <c r="F60" t="s">
        <v>91</v>
      </c>
      <c r="G60" t="s">
        <v>25</v>
      </c>
      <c r="H60" t="s">
        <v>61</v>
      </c>
      <c r="I60" t="s">
        <v>61</v>
      </c>
      <c r="J60" t="s">
        <v>156</v>
      </c>
      <c r="K60" t="s">
        <v>157</v>
      </c>
      <c r="L60" t="s">
        <v>158</v>
      </c>
      <c r="M60" t="s">
        <v>24</v>
      </c>
      <c r="N60" t="s">
        <v>31</v>
      </c>
      <c r="O60" s="1">
        <v>45811</v>
      </c>
      <c r="P60" t="s">
        <v>32</v>
      </c>
      <c r="Q60" t="s">
        <v>33</v>
      </c>
      <c r="R60" s="11"/>
      <c r="T60" s="5" t="s">
        <v>79</v>
      </c>
    </row>
    <row r="61" spans="1:20">
      <c r="A61">
        <v>128192</v>
      </c>
      <c r="B61" s="7" t="s">
        <v>20</v>
      </c>
      <c r="C61" t="s">
        <v>84</v>
      </c>
      <c r="D61" t="s">
        <v>258</v>
      </c>
      <c r="E61" t="s">
        <v>259</v>
      </c>
      <c r="F61" t="s">
        <v>108</v>
      </c>
      <c r="G61" t="s">
        <v>25</v>
      </c>
      <c r="H61" t="s">
        <v>55</v>
      </c>
      <c r="I61" t="s">
        <v>55</v>
      </c>
      <c r="J61" t="s">
        <v>52</v>
      </c>
      <c r="K61" t="s">
        <v>53</v>
      </c>
      <c r="L61" t="s">
        <v>54</v>
      </c>
      <c r="M61" t="s">
        <v>44</v>
      </c>
      <c r="N61" t="s">
        <v>31</v>
      </c>
      <c r="O61" s="1">
        <v>45607</v>
      </c>
      <c r="P61" t="s">
        <v>32</v>
      </c>
      <c r="Q61" t="s">
        <v>33</v>
      </c>
      <c r="R61" s="11"/>
      <c r="T61" s="5" t="s">
        <v>79</v>
      </c>
    </row>
    <row r="62" spans="1:20">
      <c r="A62">
        <v>118369</v>
      </c>
      <c r="B62" s="6" t="s">
        <v>20</v>
      </c>
      <c r="C62" t="s">
        <v>88</v>
      </c>
      <c r="D62" t="s">
        <v>260</v>
      </c>
      <c r="E62" t="s">
        <v>261</v>
      </c>
      <c r="F62" t="s">
        <v>112</v>
      </c>
      <c r="G62" t="s">
        <v>25</v>
      </c>
      <c r="H62" t="s">
        <v>61</v>
      </c>
      <c r="I62" t="s">
        <v>61</v>
      </c>
      <c r="J62" t="s">
        <v>109</v>
      </c>
      <c r="K62" t="s">
        <v>147</v>
      </c>
      <c r="L62" t="s">
        <v>148</v>
      </c>
      <c r="M62" t="s">
        <v>24</v>
      </c>
      <c r="N62" t="s">
        <v>31</v>
      </c>
      <c r="O62" s="1">
        <v>42282</v>
      </c>
      <c r="P62" t="s">
        <v>32</v>
      </c>
      <c r="Q62" t="s">
        <v>33</v>
      </c>
      <c r="R62" s="11"/>
      <c r="T62" s="5" t="s">
        <v>79</v>
      </c>
    </row>
    <row r="63" spans="1:20">
      <c r="A63">
        <v>118764</v>
      </c>
      <c r="B63" s="7" t="s">
        <v>20</v>
      </c>
      <c r="C63" t="s">
        <v>141</v>
      </c>
      <c r="D63" t="s">
        <v>142</v>
      </c>
      <c r="E63" t="s">
        <v>143</v>
      </c>
      <c r="F63" t="s">
        <v>24</v>
      </c>
      <c r="G63" t="s">
        <v>25</v>
      </c>
      <c r="H63" t="s">
        <v>61</v>
      </c>
      <c r="I63" t="s">
        <v>61</v>
      </c>
      <c r="J63" t="s">
        <v>234</v>
      </c>
      <c r="K63" t="s">
        <v>235</v>
      </c>
      <c r="L63" t="s">
        <v>236</v>
      </c>
      <c r="M63" t="s">
        <v>30</v>
      </c>
      <c r="N63" t="s">
        <v>31</v>
      </c>
      <c r="O63" s="1">
        <v>42317</v>
      </c>
      <c r="P63" t="s">
        <v>32</v>
      </c>
      <c r="Q63" t="s">
        <v>33</v>
      </c>
      <c r="R63" s="11"/>
      <c r="T63" s="5" t="s">
        <v>79</v>
      </c>
    </row>
    <row r="64" spans="1:20">
      <c r="A64">
        <v>129610</v>
      </c>
      <c r="B64" s="6" t="s">
        <v>20</v>
      </c>
      <c r="C64" t="s">
        <v>132</v>
      </c>
      <c r="D64" t="s">
        <v>262</v>
      </c>
      <c r="E64" t="s">
        <v>263</v>
      </c>
      <c r="F64" t="s">
        <v>127</v>
      </c>
      <c r="G64" t="s">
        <v>25</v>
      </c>
      <c r="H64" t="s">
        <v>128</v>
      </c>
      <c r="I64" t="s">
        <v>128</v>
      </c>
      <c r="J64" t="s">
        <v>129</v>
      </c>
      <c r="K64" t="s">
        <v>130</v>
      </c>
      <c r="L64" t="s">
        <v>131</v>
      </c>
      <c r="M64" t="s">
        <v>44</v>
      </c>
      <c r="N64" t="s">
        <v>31</v>
      </c>
      <c r="O64" s="1">
        <v>46237</v>
      </c>
      <c r="P64" t="s">
        <v>32</v>
      </c>
      <c r="Q64" t="s">
        <v>33</v>
      </c>
      <c r="R64" s="11"/>
      <c r="T64" s="5" t="s">
        <v>79</v>
      </c>
    </row>
    <row r="65" spans="1:20">
      <c r="A65">
        <v>125310</v>
      </c>
      <c r="B65" s="7" t="s">
        <v>20</v>
      </c>
      <c r="C65" t="s">
        <v>264</v>
      </c>
      <c r="D65" t="s">
        <v>265</v>
      </c>
      <c r="E65" t="s">
        <v>266</v>
      </c>
      <c r="F65" t="s">
        <v>127</v>
      </c>
      <c r="G65" t="s">
        <v>25</v>
      </c>
      <c r="H65" t="s">
        <v>26</v>
      </c>
      <c r="I65" t="s">
        <v>26</v>
      </c>
      <c r="J65" t="s">
        <v>27</v>
      </c>
      <c r="K65" t="s">
        <v>28</v>
      </c>
      <c r="L65" t="s">
        <v>29</v>
      </c>
      <c r="M65" t="s">
        <v>30</v>
      </c>
      <c r="N65" t="s">
        <v>31</v>
      </c>
      <c r="O65" s="1">
        <v>44627</v>
      </c>
      <c r="P65" t="s">
        <v>32</v>
      </c>
      <c r="Q65" t="s">
        <v>33</v>
      </c>
      <c r="R65" s="11"/>
      <c r="T65" s="5" t="s">
        <v>79</v>
      </c>
    </row>
    <row r="66" spans="1:20">
      <c r="A66">
        <v>122812</v>
      </c>
      <c r="B66" s="7" t="s">
        <v>20</v>
      </c>
      <c r="C66" t="s">
        <v>267</v>
      </c>
      <c r="D66" t="s">
        <v>268</v>
      </c>
      <c r="E66" t="s">
        <v>269</v>
      </c>
      <c r="F66" t="s">
        <v>127</v>
      </c>
      <c r="G66" t="s">
        <v>25</v>
      </c>
      <c r="H66" t="s">
        <v>45</v>
      </c>
      <c r="I66" t="s">
        <v>45</v>
      </c>
      <c r="J66" t="s">
        <v>41</v>
      </c>
      <c r="K66" t="s">
        <v>42</v>
      </c>
      <c r="L66" t="s">
        <v>43</v>
      </c>
      <c r="M66" t="s">
        <v>44</v>
      </c>
      <c r="N66" t="s">
        <v>31</v>
      </c>
      <c r="O66" s="1">
        <v>43557</v>
      </c>
      <c r="P66" t="s">
        <v>32</v>
      </c>
      <c r="Q66" t="s">
        <v>33</v>
      </c>
      <c r="R66" s="11"/>
      <c r="T66" s="5" t="s">
        <v>79</v>
      </c>
    </row>
    <row r="67" spans="1:20">
      <c r="A67">
        <v>103906</v>
      </c>
      <c r="B67" s="7" t="s">
        <v>20</v>
      </c>
      <c r="C67" t="s">
        <v>270</v>
      </c>
      <c r="D67" t="s">
        <v>271</v>
      </c>
      <c r="E67" t="s">
        <v>272</v>
      </c>
      <c r="F67" t="s">
        <v>112</v>
      </c>
      <c r="G67" t="s">
        <v>25</v>
      </c>
      <c r="H67" t="s">
        <v>61</v>
      </c>
      <c r="I67" t="s">
        <v>61</v>
      </c>
      <c r="J67" t="s">
        <v>273</v>
      </c>
      <c r="K67" t="s">
        <v>274</v>
      </c>
      <c r="L67" t="s">
        <v>275</v>
      </c>
      <c r="M67" t="s">
        <v>24</v>
      </c>
      <c r="N67" t="s">
        <v>31</v>
      </c>
      <c r="O67" s="1">
        <v>38808</v>
      </c>
      <c r="P67" t="s">
        <v>32</v>
      </c>
      <c r="Q67" t="s">
        <v>33</v>
      </c>
      <c r="R67" s="11"/>
      <c r="T67" s="5" t="s">
        <v>79</v>
      </c>
    </row>
    <row r="68" spans="1:20" ht="16.5">
      <c r="A68">
        <v>126536</v>
      </c>
      <c r="B68" s="7" t="s">
        <v>20</v>
      </c>
      <c r="C68" t="s">
        <v>276</v>
      </c>
      <c r="D68" t="s">
        <v>277</v>
      </c>
      <c r="E68" t="s">
        <v>278</v>
      </c>
      <c r="F68" t="s">
        <v>108</v>
      </c>
      <c r="G68" t="s">
        <v>25</v>
      </c>
      <c r="H68" t="s">
        <v>45</v>
      </c>
      <c r="I68" t="s">
        <v>45</v>
      </c>
      <c r="J68" t="s">
        <v>41</v>
      </c>
      <c r="K68" t="s">
        <v>42</v>
      </c>
      <c r="L68" t="s">
        <v>43</v>
      </c>
      <c r="M68" t="s">
        <v>44</v>
      </c>
      <c r="N68" t="s">
        <v>31</v>
      </c>
      <c r="O68" s="1">
        <v>45035</v>
      </c>
      <c r="P68" t="s">
        <v>32</v>
      </c>
      <c r="Q68" t="s">
        <v>33</v>
      </c>
      <c r="R68" s="11"/>
      <c r="S68" s="9"/>
      <c r="T68" s="5" t="s">
        <v>79</v>
      </c>
    </row>
    <row r="69" spans="1:20">
      <c r="R69" s="11"/>
    </row>
    <row r="70" spans="1:20">
      <c r="R70" s="11"/>
    </row>
    <row r="71" spans="1:20">
      <c r="R71" s="11"/>
    </row>
    <row r="72" spans="1:20">
      <c r="R72" s="11"/>
    </row>
  </sheetData>
  <phoneticPr fontId="18" type="noConversion"/>
  <dataValidations count="1">
    <dataValidation type="list" allowBlank="1" showInputMessage="1" showErrorMessage="1" sqref="T2:T68" xr:uid="{A937C413-DBBA-49B2-8673-0A7B750C31BC}">
      <formula1>"Yes,No"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2026-06-17T00:23:21Z</dcterms:created>
  <dcterms:modified xsi:type="dcterms:W3CDTF">2026-08-21T12:57:13Z</dcterms:modified>
  <cp:category/>
  <cp:contentStatus/>
</cp:coreProperties>
</file>