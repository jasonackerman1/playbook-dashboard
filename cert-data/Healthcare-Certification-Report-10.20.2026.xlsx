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1"/>
  <workbookPr/>
  <mc:AlternateContent xmlns:mc="http://schemas.openxmlformats.org/markup-compatibility/2006">
    <mc:Choice Requires="x15">
      <x15ac:absPath xmlns:x15ac="http://schemas.microsoft.com/office/spreadsheetml/2010/11/ac" url="https://konicaminoltanam-my.sharepoint.com/personal/rnesimi_kmbsus_com/Documents/Dashboard Reports/Healthcare Dashboard Reports/"/>
    </mc:Choice>
  </mc:AlternateContent>
  <xr:revisionPtr revIDLastSave="0" documentId="8_{18D0BB39-5CB6-4529-8517-DB19948572A9}" xr6:coauthVersionLast="47" xr6:coauthVersionMax="47" xr10:uidLastSave="{00000000-0000-0000-0000-000000000000}"/>
  <bookViews>
    <workbookView xWindow="-120" yWindow="-120" windowWidth="29040" windowHeight="15720" xr2:uid="{DC5E560D-579C-485D-825F-94F306B9108B}"/>
  </bookViews>
  <sheets>
    <sheet name="Healthcare Certification Repor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3" i="1" l="1"/>
  <c r="S72" i="1"/>
  <c r="S5" i="1"/>
  <c r="S73" i="1"/>
  <c r="S61" i="1"/>
  <c r="S22" i="1"/>
  <c r="S37" i="1"/>
  <c r="S20" i="1"/>
  <c r="S65" i="1"/>
  <c r="S49" i="1"/>
  <c r="S40" i="1"/>
  <c r="S62" i="1"/>
  <c r="S8" i="1"/>
  <c r="S55" i="1"/>
  <c r="S50" i="1"/>
  <c r="S23" i="1"/>
  <c r="S6" i="1"/>
  <c r="S32" i="1"/>
  <c r="S58" i="1"/>
  <c r="S54" i="1"/>
  <c r="S19" i="1"/>
  <c r="S41" i="1"/>
  <c r="S13" i="1"/>
  <c r="S64" i="1"/>
  <c r="S43" i="1"/>
  <c r="S45" i="1"/>
  <c r="S15" i="1"/>
  <c r="S12" i="1"/>
  <c r="S27" i="1"/>
  <c r="S67" i="1"/>
  <c r="S38" i="1"/>
  <c r="S51" i="1"/>
  <c r="S16" i="1"/>
  <c r="S17" i="1"/>
  <c r="S30" i="1"/>
  <c r="S59" i="1"/>
  <c r="S66" i="1"/>
  <c r="S47" i="1"/>
  <c r="S26" i="1"/>
  <c r="S9" i="1"/>
  <c r="S53" i="1"/>
  <c r="S60" i="1"/>
  <c r="S14" i="1"/>
  <c r="S36" i="1"/>
  <c r="S25" i="1"/>
  <c r="S57" i="1"/>
  <c r="S18" i="1"/>
  <c r="S35" i="1"/>
  <c r="S52" i="1"/>
  <c r="S24" i="1"/>
  <c r="S71" i="1"/>
  <c r="S21" i="1"/>
  <c r="S11" i="1"/>
  <c r="S10" i="1"/>
  <c r="S42" i="1"/>
  <c r="S48" i="1"/>
  <c r="S46" i="1"/>
  <c r="S70" i="1"/>
  <c r="S31" i="1"/>
  <c r="S69" i="1"/>
  <c r="S44" i="1"/>
  <c r="S56" i="1"/>
  <c r="S28" i="1"/>
  <c r="S63" i="1"/>
  <c r="S68" i="1"/>
  <c r="S34" i="1"/>
  <c r="S29" i="1"/>
  <c r="S33" i="1"/>
  <c r="S7" i="1"/>
  <c r="S39" i="1"/>
</calcChain>
</file>

<file path=xl/sharedStrings.xml><?xml version="1.0" encoding="utf-8"?>
<sst xmlns="http://schemas.openxmlformats.org/spreadsheetml/2006/main" count="1195" uniqueCount="292">
  <si>
    <t>User</t>
  </si>
  <si>
    <t>Active Users</t>
  </si>
  <si>
    <t>First Name</t>
  </si>
  <si>
    <t>Last Name</t>
  </si>
  <si>
    <t>Email Address</t>
  </si>
  <si>
    <t>Job Title</t>
  </si>
  <si>
    <t>Region</t>
  </si>
  <si>
    <t>Market</t>
  </si>
  <si>
    <t>Branch</t>
  </si>
  <si>
    <t>ManagerFirstName</t>
  </si>
  <si>
    <t>ManagerLastName</t>
  </si>
  <si>
    <t>SUPEMAILADDR</t>
  </si>
  <si>
    <t>Manager JobTitle</t>
  </si>
  <si>
    <t>Employee Type ID</t>
  </si>
  <si>
    <t>Hire Date</t>
  </si>
  <si>
    <t>Domain ID</t>
  </si>
  <si>
    <t>Certification Title</t>
  </si>
  <si>
    <t>Healthcare Certification Date</t>
  </si>
  <si>
    <t>HC Qtr Certified</t>
  </si>
  <si>
    <t>HC Certified (Resmie)</t>
  </si>
  <si>
    <t>Certification Score</t>
  </si>
  <si>
    <t>Yes</t>
  </si>
  <si>
    <t>Terry</t>
  </si>
  <si>
    <t>Ash</t>
  </si>
  <si>
    <t>LAsh@kmbs.konicaminolta.us</t>
  </si>
  <si>
    <t>Senior Business Development Executive - Healthcare</t>
  </si>
  <si>
    <t>FY2026 Direct Sales</t>
  </si>
  <si>
    <t>Southeast Sls</t>
  </si>
  <si>
    <t>CP MidSouth</t>
  </si>
  <si>
    <t>Karie</t>
  </si>
  <si>
    <t>Lee</t>
  </si>
  <si>
    <t>Karie.Lee@kmbs.konicaminolta.us</t>
  </si>
  <si>
    <t>Director of Sales - Healthcare</t>
  </si>
  <si>
    <t>SF</t>
  </si>
  <si>
    <t>EMP_BUS</t>
  </si>
  <si>
    <t>Healthcare Certification for Direct Sales</t>
  </si>
  <si>
    <t>No</t>
  </si>
  <si>
    <t>Eduardo</t>
  </si>
  <si>
    <t>Chavez</t>
  </si>
  <si>
    <t>TChavez@kmbs.konicaminolta.us</t>
  </si>
  <si>
    <t>Senior Account Executive - Healthcare</t>
  </si>
  <si>
    <t>Northeast Sls</t>
  </si>
  <si>
    <t>Roger</t>
  </si>
  <si>
    <t>DiGregorio</t>
  </si>
  <si>
    <t>RDigregorio@kmbs.konicaminolta.us</t>
  </si>
  <si>
    <t>Nicholas</t>
  </si>
  <si>
    <t>DeLuca</t>
  </si>
  <si>
    <t>NDeLuca@kmbs.konicaminolta.us</t>
  </si>
  <si>
    <t>Timothy</t>
  </si>
  <si>
    <t>Herrington</t>
  </si>
  <si>
    <t>THerrington@kmbs.konicaminolta.us</t>
  </si>
  <si>
    <t>Director of Sales</t>
  </si>
  <si>
    <t>Central Sls</t>
  </si>
  <si>
    <t>Harrison</t>
  </si>
  <si>
    <t>Harpole</t>
  </si>
  <si>
    <t>HHarpole@kmbs.konicaminolta.us</t>
  </si>
  <si>
    <t>Area Vice President</t>
  </si>
  <si>
    <t>Not Required</t>
  </si>
  <si>
    <t>James</t>
  </si>
  <si>
    <t>Hankins</t>
  </si>
  <si>
    <t>JHankins@kmbs.konicaminolta.us</t>
  </si>
  <si>
    <t>Heath</t>
  </si>
  <si>
    <t>Kidd</t>
  </si>
  <si>
    <t>HKidd@kmbs.konicaminolta.us</t>
  </si>
  <si>
    <t>Gerri</t>
  </si>
  <si>
    <t>Major</t>
  </si>
  <si>
    <t>Gerri.Hadley@kmbs.konicaminolta.us</t>
  </si>
  <si>
    <t>Principal Client Relationship Executive - Healthcare</t>
  </si>
  <si>
    <t>Daniel</t>
  </si>
  <si>
    <t>Eldridge</t>
  </si>
  <si>
    <t>Daniel.Eldridge@kmbs.konicaminolta.us</t>
  </si>
  <si>
    <t>Philip</t>
  </si>
  <si>
    <t>White</t>
  </si>
  <si>
    <t>PWhite@kmbs.konicaminolta.us</t>
  </si>
  <si>
    <t>Jason</t>
  </si>
  <si>
    <t>Keene</t>
  </si>
  <si>
    <t>JKeene@kmbs.konicaminolta.us</t>
  </si>
  <si>
    <t>Eric</t>
  </si>
  <si>
    <t>Montgomery</t>
  </si>
  <si>
    <t>EMontgomery@kmbs.konicaminolta.us</t>
  </si>
  <si>
    <t>Michael</t>
  </si>
  <si>
    <t>Mattson</t>
  </si>
  <si>
    <t>MMattson@kmbs.konicaminolta.us</t>
  </si>
  <si>
    <t>Heartland Sls</t>
  </si>
  <si>
    <t>Dana</t>
  </si>
  <si>
    <t>Drury</t>
  </si>
  <si>
    <t>Dana.Drury@kmbs.konicaminolta.us</t>
  </si>
  <si>
    <t>Market Vice President- Field Sales</t>
  </si>
  <si>
    <t>Danielle</t>
  </si>
  <si>
    <t>Masella</t>
  </si>
  <si>
    <t>DMasella@kmbs.konicaminolta.us</t>
  </si>
  <si>
    <t>West Sls</t>
  </si>
  <si>
    <t>Bill</t>
  </si>
  <si>
    <t>Slater</t>
  </si>
  <si>
    <t>bslater@kmbs.konicaminolta.us</t>
  </si>
  <si>
    <t>Andrea</t>
  </si>
  <si>
    <t>Adkins</t>
  </si>
  <si>
    <t>AAdkins@kmbs.konicaminolta.us</t>
  </si>
  <si>
    <t>Frankie</t>
  </si>
  <si>
    <t>Britt</t>
  </si>
  <si>
    <t>FBritt@kmbs.konicaminolta.us</t>
  </si>
  <si>
    <t>Major Client Relationship Executive</t>
  </si>
  <si>
    <t>Dee</t>
  </si>
  <si>
    <t>Gilbert</t>
  </si>
  <si>
    <t>DGilbert@kmbs.konicaminolta.us</t>
  </si>
  <si>
    <t>Ashley</t>
  </si>
  <si>
    <t>Fielding</t>
  </si>
  <si>
    <t>rfielding@kmbs.konicaminolta.us</t>
  </si>
  <si>
    <t>Regional Account Executive, Healthcare</t>
  </si>
  <si>
    <t>Oldsmar</t>
  </si>
  <si>
    <t>Cardwell</t>
  </si>
  <si>
    <t>MCardwell@kmbs.konicaminolta.us</t>
  </si>
  <si>
    <t>VP, Healthcare Sales</t>
  </si>
  <si>
    <t>CP</t>
  </si>
  <si>
    <t>Clayton</t>
  </si>
  <si>
    <t>Crane</t>
  </si>
  <si>
    <t>ecrane@kmbs.konicaminolta.us</t>
  </si>
  <si>
    <t>Bryan</t>
  </si>
  <si>
    <t>Davis</t>
  </si>
  <si>
    <t>bryan.davis@KMBS.konicaminolta.us</t>
  </si>
  <si>
    <t>Mid-Atlantic Sls</t>
  </si>
  <si>
    <t>Vickie</t>
  </si>
  <si>
    <t>Lewis</t>
  </si>
  <si>
    <t>VLewis@kmbs.konicaminolta.us</t>
  </si>
  <si>
    <t>Ann</t>
  </si>
  <si>
    <t>Jones</t>
  </si>
  <si>
    <t>Ann.Jones@KMBS.konicaminolta.us</t>
  </si>
  <si>
    <t>Mark</t>
  </si>
  <si>
    <t>Brown</t>
  </si>
  <si>
    <t>Mark.Brown@kmbs.konicaminolta.us</t>
  </si>
  <si>
    <t>Principal Account Executive- Healthcare</t>
  </si>
  <si>
    <t>Olivia</t>
  </si>
  <si>
    <t>Gilmore</t>
  </si>
  <si>
    <t>ogilmore@kmbs.konicaminolta.us</t>
  </si>
  <si>
    <t>Emmanuel</t>
  </si>
  <si>
    <t>Torres</t>
  </si>
  <si>
    <t>ETorres@kmbs.konicaminolta.us</t>
  </si>
  <si>
    <t>Sean</t>
  </si>
  <si>
    <t>Marshall</t>
  </si>
  <si>
    <t>Smarshall@kmbs.konicaminolta.us</t>
  </si>
  <si>
    <t>Michelle</t>
  </si>
  <si>
    <t>Ashby</t>
  </si>
  <si>
    <t>MAshby@kmbs.konicaminolta.us</t>
  </si>
  <si>
    <t>John</t>
  </si>
  <si>
    <t>Steinbrecher</t>
  </si>
  <si>
    <t>jsteinbrecher@kmbs.konicaminolta.us</t>
  </si>
  <si>
    <t>Senior Account Executive</t>
  </si>
  <si>
    <t>Shinkle</t>
  </si>
  <si>
    <t>mshinkle@kmbs.konicaminolta.us</t>
  </si>
  <si>
    <t>Jeffrey</t>
  </si>
  <si>
    <t>JLee@kmbs.konicaminolta.us</t>
  </si>
  <si>
    <t>Ryan</t>
  </si>
  <si>
    <t>Hamilton</t>
  </si>
  <si>
    <t>RHamilton@kmbs.konicaminolta.us</t>
  </si>
  <si>
    <t>Lisa</t>
  </si>
  <si>
    <t>Donner</t>
  </si>
  <si>
    <t>LDonner@kmbs.konicaminolta.us</t>
  </si>
  <si>
    <t>Robert</t>
  </si>
  <si>
    <t>Venturella</t>
  </si>
  <si>
    <t>RVenturella@kmbs.konicaminolta.us</t>
  </si>
  <si>
    <t>Leigh</t>
  </si>
  <si>
    <t>Whitaker</t>
  </si>
  <si>
    <t>TWhitaker@kmbs.konicaminolta.us</t>
  </si>
  <si>
    <t>Anne</t>
  </si>
  <si>
    <t>ADavis@kmbs.konicaminolta.us</t>
  </si>
  <si>
    <t>Kenneth</t>
  </si>
  <si>
    <t>Scheuer</t>
  </si>
  <si>
    <t>KScheuer@kmbs.konicaminolta.us</t>
  </si>
  <si>
    <t>Shayla</t>
  </si>
  <si>
    <t>Metz</t>
  </si>
  <si>
    <t>SMetz@kmbs.konicaminolta.us</t>
  </si>
  <si>
    <t>Banks</t>
  </si>
  <si>
    <t>Wilson</t>
  </si>
  <si>
    <t>BWilson@kmbs.konicaminolta.us</t>
  </si>
  <si>
    <t>Demeduk</t>
  </si>
  <si>
    <t>NDemeduk@kmbs.konicaminolta.us</t>
  </si>
  <si>
    <t>Tyler</t>
  </si>
  <si>
    <t>Watling</t>
  </si>
  <si>
    <t>TWatling@kmbs.konicaminolta.us</t>
  </si>
  <si>
    <t>Erik</t>
  </si>
  <si>
    <t>Goetzke</t>
  </si>
  <si>
    <t>egoetzke@kmbs.konicaminolta.us</t>
  </si>
  <si>
    <t>Account Executive - Healthcare</t>
  </si>
  <si>
    <t>Macioce</t>
  </si>
  <si>
    <t>NMacioce@kmbs.konicaminolta.us</t>
  </si>
  <si>
    <t>Isabella</t>
  </si>
  <si>
    <t>Lawrence</t>
  </si>
  <si>
    <t>IDelgado@kmbs.konicaminolta.us</t>
  </si>
  <si>
    <t>Richard</t>
  </si>
  <si>
    <t>Bortner</t>
  </si>
  <si>
    <t>RBortner@kmbs.konicaminolta.us</t>
  </si>
  <si>
    <t>Heather</t>
  </si>
  <si>
    <t>Yeager</t>
  </si>
  <si>
    <t>HYeager@kmbs.konicaminolta.us</t>
  </si>
  <si>
    <t>Whitney</t>
  </si>
  <si>
    <t>Hicks</t>
  </si>
  <si>
    <t>WHicks@kmbs.konicaminolta.us</t>
  </si>
  <si>
    <t>Jack</t>
  </si>
  <si>
    <t>Sammons</t>
  </si>
  <si>
    <t>JSammons@kmbs.konicaminolta.us</t>
  </si>
  <si>
    <t>Francis</t>
  </si>
  <si>
    <t>McBride</t>
  </si>
  <si>
    <t>fmcbride@kmbs.konicaminolta.us</t>
  </si>
  <si>
    <t>Scott</t>
  </si>
  <si>
    <t>Bruno</t>
  </si>
  <si>
    <t>scott.bruno@kmbs.konicaminolta.us</t>
  </si>
  <si>
    <t>Inbo</t>
  </si>
  <si>
    <t>ilee@kmbs.konicaminolta.us</t>
  </si>
  <si>
    <t>Piper</t>
  </si>
  <si>
    <t>rpiper@kmbs.konicaminolta.us</t>
  </si>
  <si>
    <t>Luis</t>
  </si>
  <si>
    <t>Parejo</t>
  </si>
  <si>
    <t>lparejo@kmbs.konicaminolta.us</t>
  </si>
  <si>
    <t>Matthew</t>
  </si>
  <si>
    <t>Doan</t>
  </si>
  <si>
    <t>mdoan@kmbs.konicaminolta.us</t>
  </si>
  <si>
    <t>Terrance</t>
  </si>
  <si>
    <t>O'Leary</t>
  </si>
  <si>
    <t>toleary@kmbs.konicaminolta.us</t>
  </si>
  <si>
    <t>Anna</t>
  </si>
  <si>
    <t>Harbort</t>
  </si>
  <si>
    <t>aharbort@kmbs.konicaminolta.us</t>
  </si>
  <si>
    <t>Phillip</t>
  </si>
  <si>
    <t>Pierce</t>
  </si>
  <si>
    <t>david.pierce@kmbs.konicaminolta.us</t>
  </si>
  <si>
    <t>Cory</t>
  </si>
  <si>
    <t>Coleman</t>
  </si>
  <si>
    <t>ccoleman@kmbs.konicaminolta.us</t>
  </si>
  <si>
    <t>Kevin</t>
  </si>
  <si>
    <t>Klicman</t>
  </si>
  <si>
    <t>CKlicman@kmbs.konicaminolta.us</t>
  </si>
  <si>
    <t>Stephen</t>
  </si>
  <si>
    <t>Farrell</t>
  </si>
  <si>
    <t>SFarrell@kmbs.konicaminolta.us</t>
  </si>
  <si>
    <t>Business Development Executive - Healthcare</t>
  </si>
  <si>
    <t>Chavarria</t>
  </si>
  <si>
    <t>DChavarria@kmbs.konicaminolta.us</t>
  </si>
  <si>
    <t>Travis</t>
  </si>
  <si>
    <t>Sears</t>
  </si>
  <si>
    <t>TSears@kmbs.konicaminolta.us</t>
  </si>
  <si>
    <t>Logan</t>
  </si>
  <si>
    <t>Smith</t>
  </si>
  <si>
    <t>LSmith@kmbs.konicaminolta.us</t>
  </si>
  <si>
    <t>Account Executive</t>
  </si>
  <si>
    <t>Andrew</t>
  </si>
  <si>
    <t>Gibbs</t>
  </si>
  <si>
    <t>DGibbs@kmbs.konicaminolta.us</t>
  </si>
  <si>
    <t>Hur</t>
  </si>
  <si>
    <t>SHur@kmbs.konicaminolta.us</t>
  </si>
  <si>
    <t>Jared</t>
  </si>
  <si>
    <t>Jackson</t>
  </si>
  <si>
    <t>jared.jackson@kmbs.konicaminolta.us</t>
  </si>
  <si>
    <t>Senior Business Development Executive</t>
  </si>
  <si>
    <t>Donald</t>
  </si>
  <si>
    <t>Dempsey</t>
  </si>
  <si>
    <t>DDempsey@kmbs.konicaminolta.us</t>
  </si>
  <si>
    <t>Jerry</t>
  </si>
  <si>
    <t>Jelinek</t>
  </si>
  <si>
    <t>JJelinek@kmbs.konicaminolta.us</t>
  </si>
  <si>
    <t>Sandeep</t>
  </si>
  <si>
    <t>Satija</t>
  </si>
  <si>
    <t>SSatija@kmbs.konicaminolta.us</t>
  </si>
  <si>
    <t>Gina</t>
  </si>
  <si>
    <t>Vertullo</t>
  </si>
  <si>
    <t>GVertullo@kmbs.konicaminolta.us</t>
  </si>
  <si>
    <t>Brian</t>
  </si>
  <si>
    <t>Cole</t>
  </si>
  <si>
    <t>BCole@kmbs.konicaminolta.us</t>
  </si>
  <si>
    <t xml:space="preserve">  </t>
  </si>
  <si>
    <t xml:space="preserve"> </t>
  </si>
  <si>
    <t>Ty</t>
  </si>
  <si>
    <t>Foster</t>
  </si>
  <si>
    <t>Ty.Foster@kmbs.konicaminolta.us</t>
  </si>
  <si>
    <t>Dexter</t>
  </si>
  <si>
    <t>JDexter@kmbs.konicaminolta.us</t>
  </si>
  <si>
    <t>Benton</t>
  </si>
  <si>
    <t>SBenton@kmbs.konicaminolta.us</t>
  </si>
  <si>
    <t>Wall</t>
  </si>
  <si>
    <t>JWall@kmbs.konicaminolta.us</t>
  </si>
  <si>
    <t>Lauren</t>
  </si>
  <si>
    <t>Slane</t>
  </si>
  <si>
    <t>LSlane@kmbs.konicaminolta.us</t>
  </si>
  <si>
    <t>Paul</t>
  </si>
  <si>
    <t>Pompeo</t>
  </si>
  <si>
    <t>PPompeo@kmbs.konicaminolta.us</t>
  </si>
  <si>
    <t>Jing</t>
  </si>
  <si>
    <t>Mallory</t>
  </si>
  <si>
    <t>JMallory@kmbs.konicaminolta.us</t>
  </si>
  <si>
    <t>Kirbi</t>
  </si>
  <si>
    <t>KWhitaker@kmbs.konicaminolta.us</t>
  </si>
  <si>
    <t>Dix</t>
  </si>
  <si>
    <t>MDix@kmbs.konicaminolta.us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</si>
</sst>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Segoe UI"/>
      <family val="2"/>
    </font>
    <font>
      <b/>
      <sz val="11"/>
      <color theme="0"/>
      <name val="Segoe UI"/>
      <family val="2"/>
    </font>
    <font>
      <sz val="11"/>
      <color rgb="FF9C5700"/>
      <name val="Segoe UI"/>
      <family val="2"/>
    </font>
    <font>
      <sz val="11"/>
      <color rgb="FF006100"/>
      <name val="Segoe UI"/>
      <family val="2"/>
    </font>
    <font>
      <sz val="11"/>
      <color rgb="FF9C0006"/>
      <name val="Segoe UI"/>
      <family val="2"/>
    </font>
    <font>
      <sz val="10"/>
      <color rgb="FF000000"/>
      <name val="Calibri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theme="4"/>
      </patternFill>
    </fill>
    <fill>
      <patternFill patternType="solid">
        <fgColor theme="9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0" fontId="19" fillId="0" borderId="0" xfId="0" applyFont="1" applyAlignment="1">
      <alignment horizontal="center" vertical="center"/>
    </xf>
    <xf numFmtId="0" fontId="19" fillId="0" borderId="0" xfId="0" applyFont="1"/>
    <xf numFmtId="0" fontId="19" fillId="0" borderId="0" xfId="0" applyFont="1" applyAlignment="1">
      <alignment horizontal="left" vertical="center"/>
    </xf>
    <xf numFmtId="0" fontId="19" fillId="0" borderId="0" xfId="0" applyFont="1" applyAlignment="1">
      <alignment horizontal="center"/>
    </xf>
    <xf numFmtId="0" fontId="20" fillId="33" borderId="10" xfId="0" applyFont="1" applyFill="1" applyBorder="1" applyAlignment="1">
      <alignment horizontal="center"/>
    </xf>
    <xf numFmtId="0" fontId="21" fillId="4" borderId="0" xfId="8" applyFont="1" applyAlignment="1">
      <alignment horizontal="center"/>
    </xf>
    <xf numFmtId="0" fontId="19" fillId="0" borderId="0" xfId="0" applyFont="1" applyAlignment="1">
      <alignment horizontal="left"/>
    </xf>
    <xf numFmtId="14" fontId="19" fillId="0" borderId="0" xfId="0" applyNumberFormat="1" applyFont="1"/>
    <xf numFmtId="14" fontId="19" fillId="0" borderId="0" xfId="0" applyNumberFormat="1" applyFont="1" applyAlignment="1">
      <alignment horizontal="center" vertical="center"/>
    </xf>
    <xf numFmtId="0" fontId="22" fillId="2" borderId="10" xfId="6" applyFont="1" applyBorder="1" applyAlignment="1">
      <alignment horizontal="center"/>
    </xf>
    <xf numFmtId="0" fontId="23" fillId="3" borderId="10" xfId="7" applyFont="1" applyBorder="1" applyAlignment="1">
      <alignment horizontal="center"/>
    </xf>
    <xf numFmtId="0" fontId="6" fillId="2" borderId="10" xfId="6" applyBorder="1" applyAlignment="1">
      <alignment horizontal="center"/>
    </xf>
    <xf numFmtId="0" fontId="20" fillId="33" borderId="0" xfId="8" applyFont="1" applyFill="1" applyAlignment="1">
      <alignment horizontal="center"/>
    </xf>
    <xf numFmtId="0" fontId="19" fillId="34" borderId="0" xfId="0" applyFont="1" applyFill="1" applyAlignment="1">
      <alignment horizontal="center"/>
    </xf>
    <xf numFmtId="0" fontId="24" fillId="0" borderId="0" xfId="0" applyFont="1" applyAlignment="1">
      <alignment wrapText="1"/>
    </xf>
    <xf numFmtId="0" fontId="22" fillId="2" borderId="0" xfId="6" applyFon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4"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Segoe UI"/>
        <family val="2"/>
        <scheme val="none"/>
      </font>
      <fill>
        <patternFill patternType="solid">
          <fgColor theme="4"/>
          <bgColor theme="4"/>
        </patternFill>
      </fill>
      <alignment horizontal="center" vertical="bottom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DB49C0E-B689-40D7-AF80-6540B72913D2}" name="Table1" displayName="Table1" ref="A1:U73" totalsRowShown="0" headerRowDxfId="22" dataDxfId="21">
  <autoFilter ref="A1:U73" xr:uid="{3DB49C0E-B689-40D7-AF80-6540B72913D2}"/>
  <sortState xmlns:xlrd2="http://schemas.microsoft.com/office/spreadsheetml/2017/richdata2" ref="A2:U73">
    <sortCondition ref="T1:T73"/>
  </sortState>
  <tableColumns count="21">
    <tableColumn id="1" xr3:uid="{7E27C642-CD96-4E29-8515-090A1E2597B4}" name="User" dataDxfId="20"/>
    <tableColumn id="21" xr3:uid="{50452B11-87F7-47DB-9B0B-60BC2C16FB02}" name="Active Users" dataDxfId="19"/>
    <tableColumn id="2" xr3:uid="{CFFAECCF-72C9-4975-9126-F750BD17086F}" name="First Name" dataDxfId="18"/>
    <tableColumn id="3" xr3:uid="{72D560DD-C804-4CCA-A0AF-6E9765DBE97D}" name="Last Name" dataDxfId="17"/>
    <tableColumn id="4" xr3:uid="{DA0EF794-C5D7-4C59-BF79-583C74C9F984}" name="Email Address" dataDxfId="16"/>
    <tableColumn id="5" xr3:uid="{0302E242-BBF4-4675-980F-D5AEA81A3BE7}" name="Job Title" dataDxfId="15"/>
    <tableColumn id="6" xr3:uid="{9EC61498-0D17-4CBF-BACA-1124C6F10AF8}" name="Region" dataDxfId="14"/>
    <tableColumn id="7" xr3:uid="{B0EC4BF5-B58C-47E1-A479-B0F15187FE01}" name="Market" dataDxfId="13"/>
    <tableColumn id="8" xr3:uid="{0889E08E-8052-4DCC-A376-B6D07E75B96C}" name="Branch" dataDxfId="12"/>
    <tableColumn id="9" xr3:uid="{40B51040-87F7-4CC7-8817-6ED69BDEAC3C}" name="ManagerFirstName" dataDxfId="11"/>
    <tableColumn id="10" xr3:uid="{E460ADC9-614C-42B1-B90B-843D7117A395}" name="ManagerLastName" dataDxfId="10"/>
    <tableColumn id="11" xr3:uid="{4A76031F-6B0D-4855-86C9-23F94BEB6426}" name="SUPEMAILADDR" dataDxfId="9"/>
    <tableColumn id="12" xr3:uid="{AE4AB860-3E79-440F-9788-272ACB713BC2}" name="Manager JobTitle" dataDxfId="8"/>
    <tableColumn id="13" xr3:uid="{49844865-4681-46E2-951E-8345B8D0184F}" name="Employee Type ID" dataDxfId="7"/>
    <tableColumn id="14" xr3:uid="{18331AB3-AE79-4354-B537-1B1CFECA4055}" name="Hire Date" dataDxfId="6"/>
    <tableColumn id="15" xr3:uid="{EDF0B903-13A5-431B-9D9E-EE6951B47EBA}" name="Domain ID" dataDxfId="5"/>
    <tableColumn id="18" xr3:uid="{F9F5F60C-1269-4602-89D5-FF53AB8C2F04}" name="Certification Title" dataDxfId="4"/>
    <tableColumn id="24" xr3:uid="{70885FE9-BF2C-444A-BEB9-54BB4010DA6A}" name="Healthcare Certification Date" dataDxfId="3"/>
    <tableColumn id="25" xr3:uid="{5888C70D-72C2-4292-BC2A-7A15997DF1E9}" name="HC Qtr Certified" dataDxfId="2">
      <calculatedColumnFormula>"FY"&amp;YEAR(R2)-IF(MONTH(R2)&lt;4,1,0)&amp;" "&amp;CHOOSE(MATCH(MONTH(R2),{1,4,7,10}),"Q4","Q1","Q2","Q3")</calculatedColumnFormula>
    </tableColumn>
    <tableColumn id="26" xr3:uid="{5C33DCD2-2B3F-4399-8CEB-750948111A65}" name="HC Certified (Resmie)" dataDxfId="1"/>
    <tableColumn id="17" xr3:uid="{7F9B9701-2ED7-41CF-914D-230F08E5ACD7}" name="Certification Scor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48FCD-FA24-4849-AC79-BFCF63E0FF44}">
  <dimension ref="A1:AD73"/>
  <sheetViews>
    <sheetView tabSelected="1" zoomScale="70" zoomScaleNormal="70" workbookViewId="0">
      <pane xSplit="4" topLeftCell="M1" activePane="topRight" state="frozen"/>
      <selection pane="topRight" activeCell="Y6" sqref="Y6"/>
    </sheetView>
  </sheetViews>
  <sheetFormatPr defaultColWidth="9.140625" defaultRowHeight="16.5"/>
  <cols>
    <col min="1" max="1" width="9.85546875" style="2" bestFit="1" customWidth="1"/>
    <col min="2" max="2" width="18.42578125" style="3" bestFit="1" customWidth="1"/>
    <col min="3" max="3" width="12.140625" style="2" customWidth="1"/>
    <col min="4" max="4" width="19.85546875" style="2" bestFit="1" customWidth="1"/>
    <col min="5" max="5" width="33" style="2" customWidth="1"/>
    <col min="6" max="6" width="53.5703125" style="2" customWidth="1"/>
    <col min="7" max="7" width="24.5703125" style="2" customWidth="1"/>
    <col min="8" max="8" width="35.28515625" style="2" customWidth="1"/>
    <col min="9" max="9" width="12.85546875" style="2" customWidth="1"/>
    <col min="10" max="10" width="19" style="2" customWidth="1"/>
    <col min="11" max="11" width="18.7109375" style="2" customWidth="1"/>
    <col min="12" max="12" width="36.42578125" style="2" customWidth="1"/>
    <col min="13" max="13" width="34.85546875" style="2" customWidth="1"/>
    <col min="14" max="14" width="18.28515625" style="2" customWidth="1"/>
    <col min="15" max="15" width="15.42578125" style="2" bestFit="1" customWidth="1"/>
    <col min="16" max="16" width="11.85546875" style="2" customWidth="1"/>
    <col min="17" max="17" width="37.140625" style="2" customWidth="1"/>
    <col min="18" max="18" width="44" style="4" bestFit="1" customWidth="1"/>
    <col min="19" max="19" width="31.140625" style="4" bestFit="1" customWidth="1"/>
    <col min="20" max="20" width="31.42578125" style="4" bestFit="1" customWidth="1"/>
    <col min="21" max="21" width="24.7109375" style="4" bestFit="1" customWidth="1"/>
    <col min="22" max="16384" width="9.140625" style="2"/>
  </cols>
  <sheetData>
    <row r="1" spans="1:21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4" t="s">
        <v>17</v>
      </c>
      <c r="S1" s="5" t="s">
        <v>18</v>
      </c>
      <c r="T1" s="6" t="s">
        <v>19</v>
      </c>
      <c r="U1" s="13" t="s">
        <v>20</v>
      </c>
    </row>
    <row r="2" spans="1:21">
      <c r="A2" s="2">
        <v>113683</v>
      </c>
      <c r="B2" s="3" t="s">
        <v>21</v>
      </c>
      <c r="C2" s="2" t="s">
        <v>22</v>
      </c>
      <c r="D2" s="2" t="s">
        <v>23</v>
      </c>
      <c r="E2" s="2" t="s">
        <v>24</v>
      </c>
      <c r="F2" t="s">
        <v>25</v>
      </c>
      <c r="G2" s="2" t="s">
        <v>26</v>
      </c>
      <c r="H2" t="s">
        <v>27</v>
      </c>
      <c r="I2" s="2" t="s">
        <v>28</v>
      </c>
      <c r="J2" s="2" t="s">
        <v>29</v>
      </c>
      <c r="K2" s="2" t="s">
        <v>30</v>
      </c>
      <c r="L2" s="15" t="s">
        <v>31</v>
      </c>
      <c r="M2" s="15" t="s">
        <v>32</v>
      </c>
      <c r="N2" s="2" t="s">
        <v>33</v>
      </c>
      <c r="O2" s="8">
        <v>46296</v>
      </c>
      <c r="P2" s="2" t="s">
        <v>34</v>
      </c>
      <c r="Q2" s="2" t="s">
        <v>35</v>
      </c>
      <c r="R2" s="1"/>
      <c r="T2" s="11" t="s">
        <v>36</v>
      </c>
    </row>
    <row r="3" spans="1:21">
      <c r="A3" s="2">
        <v>129756</v>
      </c>
      <c r="B3" s="3" t="s">
        <v>21</v>
      </c>
      <c r="C3" s="2" t="s">
        <v>37</v>
      </c>
      <c r="D3" s="2" t="s">
        <v>38</v>
      </c>
      <c r="E3" s="2" t="s">
        <v>39</v>
      </c>
      <c r="F3" s="2" t="s">
        <v>40</v>
      </c>
      <c r="G3" s="2" t="s">
        <v>26</v>
      </c>
      <c r="H3" s="2" t="s">
        <v>41</v>
      </c>
      <c r="I3" s="2" t="s">
        <v>41</v>
      </c>
      <c r="J3" s="2" t="s">
        <v>42</v>
      </c>
      <c r="K3" s="2" t="s">
        <v>43</v>
      </c>
      <c r="L3" s="2" t="s">
        <v>44</v>
      </c>
      <c r="M3" s="2" t="s">
        <v>32</v>
      </c>
      <c r="N3" s="2" t="s">
        <v>33</v>
      </c>
      <c r="O3" s="8">
        <v>46302</v>
      </c>
      <c r="P3" s="2" t="s">
        <v>34</v>
      </c>
      <c r="Q3" s="4" t="s">
        <v>35</v>
      </c>
      <c r="R3" s="9">
        <v>46315</v>
      </c>
      <c r="S3" s="1" t="str">
        <f>"FY"&amp;YEAR(R3)-IF(MONTH(R3)&lt;4,1,0)&amp;" "&amp;CHOOSE(MATCH(MONTH(R3),{1,4,7,10}),"Q4","Q1","Q2","Q3")</f>
        <v>FY2026 Q3</v>
      </c>
      <c r="T3" s="10" t="s">
        <v>21</v>
      </c>
      <c r="U3" s="4">
        <v>3.95</v>
      </c>
    </row>
    <row r="4" spans="1:21">
      <c r="A4" s="2">
        <v>129774</v>
      </c>
      <c r="B4" s="3" t="s">
        <v>21</v>
      </c>
      <c r="C4" s="2" t="s">
        <v>45</v>
      </c>
      <c r="D4" s="2" t="s">
        <v>46</v>
      </c>
      <c r="E4" s="2" t="s">
        <v>47</v>
      </c>
      <c r="F4" s="2" t="s">
        <v>25</v>
      </c>
      <c r="G4" s="2" t="s">
        <v>26</v>
      </c>
      <c r="H4" s="2" t="s">
        <v>41</v>
      </c>
      <c r="I4" s="2" t="s">
        <v>41</v>
      </c>
      <c r="J4" s="2" t="s">
        <v>42</v>
      </c>
      <c r="K4" s="2" t="s">
        <v>43</v>
      </c>
      <c r="L4" s="2" t="s">
        <v>44</v>
      </c>
      <c r="M4" s="2" t="s">
        <v>32</v>
      </c>
      <c r="N4" s="2" t="s">
        <v>33</v>
      </c>
      <c r="O4" s="8">
        <v>46302</v>
      </c>
      <c r="P4" s="2" t="s">
        <v>34</v>
      </c>
      <c r="Q4" s="4" t="s">
        <v>35</v>
      </c>
      <c r="R4" s="1"/>
      <c r="T4" s="11" t="s">
        <v>36</v>
      </c>
    </row>
    <row r="5" spans="1:21">
      <c r="A5" s="2">
        <v>102475</v>
      </c>
      <c r="B5" s="3" t="s">
        <v>21</v>
      </c>
      <c r="C5" s="2" t="s">
        <v>48</v>
      </c>
      <c r="D5" s="2" t="s">
        <v>49</v>
      </c>
      <c r="E5" s="2" t="s">
        <v>50</v>
      </c>
      <c r="F5" s="2" t="s">
        <v>51</v>
      </c>
      <c r="G5" s="2" t="s">
        <v>26</v>
      </c>
      <c r="H5" s="2" t="s">
        <v>52</v>
      </c>
      <c r="I5" s="2" t="s">
        <v>52</v>
      </c>
      <c r="J5" s="2" t="s">
        <v>53</v>
      </c>
      <c r="K5" s="2" t="s">
        <v>54</v>
      </c>
      <c r="L5" s="2" t="s">
        <v>55</v>
      </c>
      <c r="M5" s="2" t="s">
        <v>56</v>
      </c>
      <c r="N5" s="2" t="s">
        <v>33</v>
      </c>
      <c r="O5" s="8">
        <v>39580</v>
      </c>
      <c r="P5" s="2" t="s">
        <v>34</v>
      </c>
      <c r="Q5" s="2" t="s">
        <v>35</v>
      </c>
      <c r="R5" s="9">
        <v>46293</v>
      </c>
      <c r="S5" s="1" t="str">
        <f>"FY"&amp;YEAR(R5)-IF(MONTH(R5)&lt;4,1,0)&amp;" "&amp;CHOOSE(MATCH(MONTH(R5),{1,4,7,10}),"Q4","Q1","Q2","Q3")</f>
        <v>FY2026 Q2</v>
      </c>
      <c r="T5" s="10" t="s">
        <v>21</v>
      </c>
      <c r="U5" s="4" t="s">
        <v>57</v>
      </c>
    </row>
    <row r="6" spans="1:21">
      <c r="A6" s="2">
        <v>103885</v>
      </c>
      <c r="B6" s="3" t="s">
        <v>21</v>
      </c>
      <c r="C6" s="2" t="s">
        <v>58</v>
      </c>
      <c r="D6" s="2" t="s">
        <v>59</v>
      </c>
      <c r="E6" s="2" t="s">
        <v>60</v>
      </c>
      <c r="F6" s="2" t="s">
        <v>51</v>
      </c>
      <c r="G6" s="2" t="s">
        <v>26</v>
      </c>
      <c r="H6" s="2" t="s">
        <v>52</v>
      </c>
      <c r="I6" s="2" t="s">
        <v>52</v>
      </c>
      <c r="J6" s="2" t="s">
        <v>61</v>
      </c>
      <c r="K6" s="2" t="s">
        <v>62</v>
      </c>
      <c r="L6" s="2" t="s">
        <v>63</v>
      </c>
      <c r="M6" s="2" t="s">
        <v>56</v>
      </c>
      <c r="N6" s="2" t="s">
        <v>33</v>
      </c>
      <c r="O6" s="8">
        <v>45950</v>
      </c>
      <c r="P6" s="2" t="s">
        <v>34</v>
      </c>
      <c r="Q6" s="2" t="s">
        <v>35</v>
      </c>
      <c r="R6" s="9">
        <v>46281</v>
      </c>
      <c r="S6" s="1" t="str">
        <f>"FY"&amp;YEAR(R6)-IF(MONTH(R6)&lt;4,1,0)&amp;" "&amp;CHOOSE(MATCH(MONTH(R6),{1,4,7,10}),"Q4","Q1","Q2","Q3")</f>
        <v>FY2026 Q2</v>
      </c>
      <c r="T6" s="10" t="s">
        <v>21</v>
      </c>
      <c r="U6" s="4" t="s">
        <v>57</v>
      </c>
    </row>
    <row r="7" spans="1:21">
      <c r="A7" s="2">
        <v>103900</v>
      </c>
      <c r="B7" s="3" t="s">
        <v>21</v>
      </c>
      <c r="C7" s="2" t="s">
        <v>64</v>
      </c>
      <c r="D7" s="2" t="s">
        <v>65</v>
      </c>
      <c r="E7" s="2" t="s">
        <v>66</v>
      </c>
      <c r="F7" s="2" t="s">
        <v>67</v>
      </c>
      <c r="G7" s="2" t="s">
        <v>26</v>
      </c>
      <c r="H7" s="2" t="s">
        <v>52</v>
      </c>
      <c r="I7" s="2" t="s">
        <v>52</v>
      </c>
      <c r="J7" s="2" t="s">
        <v>68</v>
      </c>
      <c r="K7" s="2" t="s">
        <v>69</v>
      </c>
      <c r="L7" s="2" t="s">
        <v>70</v>
      </c>
      <c r="M7" s="2" t="s">
        <v>51</v>
      </c>
      <c r="N7" s="2" t="s">
        <v>33</v>
      </c>
      <c r="O7" s="8">
        <v>39601</v>
      </c>
      <c r="P7" s="2" t="s">
        <v>34</v>
      </c>
      <c r="Q7" s="2" t="s">
        <v>35</v>
      </c>
      <c r="R7" s="9">
        <v>46279</v>
      </c>
      <c r="S7" s="1" t="str">
        <f>"FY"&amp;YEAR(R7)-IF(MONTH(R7)&lt;4,1,0)&amp;" "&amp;CHOOSE(MATCH(MONTH(R7),{1,4,7,10}),"Q4","Q1","Q2","Q3")</f>
        <v>FY2026 Q2</v>
      </c>
      <c r="T7" s="10" t="s">
        <v>21</v>
      </c>
      <c r="U7" s="14">
        <v>3.71</v>
      </c>
    </row>
    <row r="8" spans="1:21">
      <c r="A8" s="2">
        <v>103906</v>
      </c>
      <c r="B8" s="7" t="s">
        <v>21</v>
      </c>
      <c r="C8" s="2" t="s">
        <v>71</v>
      </c>
      <c r="D8" s="2" t="s">
        <v>72</v>
      </c>
      <c r="E8" s="2" t="s">
        <v>73</v>
      </c>
      <c r="F8" s="2" t="s">
        <v>40</v>
      </c>
      <c r="G8" s="2" t="s">
        <v>26</v>
      </c>
      <c r="H8" s="2" t="s">
        <v>52</v>
      </c>
      <c r="I8" s="2" t="s">
        <v>52</v>
      </c>
      <c r="J8" s="2" t="s">
        <v>74</v>
      </c>
      <c r="K8" s="2" t="s">
        <v>75</v>
      </c>
      <c r="L8" s="2" t="s">
        <v>76</v>
      </c>
      <c r="M8" s="2" t="s">
        <v>51</v>
      </c>
      <c r="N8" s="2" t="s">
        <v>33</v>
      </c>
      <c r="O8" s="8">
        <v>38808</v>
      </c>
      <c r="P8" s="2" t="s">
        <v>34</v>
      </c>
      <c r="Q8" s="2" t="s">
        <v>35</v>
      </c>
      <c r="R8" s="9">
        <v>46283</v>
      </c>
      <c r="S8" s="1" t="str">
        <f>"FY"&amp;YEAR(R8)-IF(MONTH(R8)&lt;4,1,0)&amp;" "&amp;CHOOSE(MATCH(MONTH(R8),{1,4,7,10}),"Q4","Q1","Q2","Q3")</f>
        <v>FY2026 Q2</v>
      </c>
      <c r="T8" s="10" t="s">
        <v>21</v>
      </c>
      <c r="U8" s="14">
        <v>3.83</v>
      </c>
    </row>
    <row r="9" spans="1:21">
      <c r="A9" s="2">
        <v>103908</v>
      </c>
      <c r="B9" s="3" t="s">
        <v>21</v>
      </c>
      <c r="C9" s="2" t="s">
        <v>68</v>
      </c>
      <c r="D9" s="2" t="s">
        <v>69</v>
      </c>
      <c r="E9" s="2" t="s">
        <v>70</v>
      </c>
      <c r="F9" s="2" t="s">
        <v>51</v>
      </c>
      <c r="G9" s="2" t="s">
        <v>26</v>
      </c>
      <c r="H9" s="2" t="s">
        <v>52</v>
      </c>
      <c r="I9" s="2" t="s">
        <v>52</v>
      </c>
      <c r="J9" s="2" t="s">
        <v>77</v>
      </c>
      <c r="K9" s="2" t="s">
        <v>78</v>
      </c>
      <c r="L9" s="2" t="s">
        <v>79</v>
      </c>
      <c r="M9" s="2" t="s">
        <v>56</v>
      </c>
      <c r="N9" s="2" t="s">
        <v>33</v>
      </c>
      <c r="O9" s="8">
        <v>42352</v>
      </c>
      <c r="P9" s="2" t="s">
        <v>34</v>
      </c>
      <c r="Q9" s="2" t="s">
        <v>35</v>
      </c>
      <c r="R9" s="9">
        <v>46261</v>
      </c>
      <c r="S9" s="1" t="str">
        <f>"FY"&amp;YEAR(R9)-IF(MONTH(R9)&lt;4,1,0)&amp;" "&amp;CHOOSE(MATCH(MONTH(R9),{1,4,7,10}),"Q4","Q1","Q2","Q3")</f>
        <v>FY2026 Q2</v>
      </c>
      <c r="T9" s="10" t="s">
        <v>21</v>
      </c>
      <c r="U9" s="4" t="s">
        <v>57</v>
      </c>
    </row>
    <row r="10" spans="1:21">
      <c r="A10" s="2">
        <v>103915</v>
      </c>
      <c r="B10" s="7" t="s">
        <v>21</v>
      </c>
      <c r="C10" s="2" t="s">
        <v>80</v>
      </c>
      <c r="D10" s="2" t="s">
        <v>81</v>
      </c>
      <c r="E10" s="2" t="s">
        <v>82</v>
      </c>
      <c r="F10" s="2" t="s">
        <v>56</v>
      </c>
      <c r="G10" s="2" t="s">
        <v>26</v>
      </c>
      <c r="H10" s="2" t="s">
        <v>83</v>
      </c>
      <c r="I10" s="2" t="s">
        <v>83</v>
      </c>
      <c r="J10" s="2" t="s">
        <v>84</v>
      </c>
      <c r="K10" s="2" t="s">
        <v>85</v>
      </c>
      <c r="L10" s="2" t="s">
        <v>86</v>
      </c>
      <c r="M10" s="2" t="s">
        <v>87</v>
      </c>
      <c r="N10" s="2" t="s">
        <v>33</v>
      </c>
      <c r="O10" s="8">
        <v>36130</v>
      </c>
      <c r="P10" s="2" t="s">
        <v>34</v>
      </c>
      <c r="Q10" s="2" t="s">
        <v>35</v>
      </c>
      <c r="R10" s="9">
        <v>46276</v>
      </c>
      <c r="S10" s="1" t="str">
        <f>"FY"&amp;YEAR(R10)-IF(MONTH(R10)&lt;4,1,0)&amp;" "&amp;CHOOSE(MATCH(MONTH(R10),{1,4,7,10}),"Q4","Q1","Q2","Q3")</f>
        <v>FY2026 Q2</v>
      </c>
      <c r="T10" s="10" t="s">
        <v>21</v>
      </c>
      <c r="U10" s="4" t="s">
        <v>57</v>
      </c>
    </row>
    <row r="11" spans="1:21">
      <c r="A11" s="2">
        <v>104738</v>
      </c>
      <c r="B11" s="7" t="s">
        <v>21</v>
      </c>
      <c r="C11" s="2" t="s">
        <v>88</v>
      </c>
      <c r="D11" s="2" t="s">
        <v>89</v>
      </c>
      <c r="E11" s="2" t="s">
        <v>90</v>
      </c>
      <c r="F11" s="2" t="s">
        <v>67</v>
      </c>
      <c r="G11" s="2" t="s">
        <v>26</v>
      </c>
      <c r="H11" s="2" t="s">
        <v>91</v>
      </c>
      <c r="I11" s="2" t="s">
        <v>91</v>
      </c>
      <c r="J11" s="2" t="s">
        <v>92</v>
      </c>
      <c r="K11" s="2" t="s">
        <v>93</v>
      </c>
      <c r="L11" s="2" t="s">
        <v>94</v>
      </c>
      <c r="M11" s="2" t="s">
        <v>32</v>
      </c>
      <c r="N11" s="2" t="s">
        <v>33</v>
      </c>
      <c r="O11" s="8">
        <v>39335</v>
      </c>
      <c r="P11" s="2" t="s">
        <v>34</v>
      </c>
      <c r="Q11" s="2" t="s">
        <v>35</v>
      </c>
      <c r="R11" s="9">
        <v>46274</v>
      </c>
      <c r="S11" s="1" t="str">
        <f>"FY"&amp;YEAR(R11)-IF(MONTH(R11)&lt;4,1,0)&amp;" "&amp;CHOOSE(MATCH(MONTH(R11),{1,4,7,10}),"Q4","Q1","Q2","Q3")</f>
        <v>FY2026 Q2</v>
      </c>
      <c r="T11" s="10" t="s">
        <v>21</v>
      </c>
    </row>
    <row r="12" spans="1:21">
      <c r="A12" s="2">
        <v>105722</v>
      </c>
      <c r="B12" s="7" t="s">
        <v>21</v>
      </c>
      <c r="C12" s="2" t="s">
        <v>95</v>
      </c>
      <c r="D12" s="2" t="s">
        <v>96</v>
      </c>
      <c r="E12" s="2" t="s">
        <v>97</v>
      </c>
      <c r="F12" s="2" t="s">
        <v>67</v>
      </c>
      <c r="G12" s="2" t="s">
        <v>26</v>
      </c>
      <c r="H12" s="2" t="s">
        <v>27</v>
      </c>
      <c r="I12" s="2" t="s">
        <v>27</v>
      </c>
      <c r="J12" s="2" t="s">
        <v>29</v>
      </c>
      <c r="K12" s="2" t="s">
        <v>30</v>
      </c>
      <c r="L12" s="2" t="s">
        <v>31</v>
      </c>
      <c r="M12" s="2" t="s">
        <v>32</v>
      </c>
      <c r="N12" s="2" t="s">
        <v>33</v>
      </c>
      <c r="O12" s="8">
        <v>34169</v>
      </c>
      <c r="P12" s="2" t="s">
        <v>34</v>
      </c>
      <c r="Q12" s="2" t="s">
        <v>35</v>
      </c>
      <c r="R12" s="9">
        <v>46266</v>
      </c>
      <c r="S12" s="1" t="str">
        <f>"FY"&amp;YEAR(R12)-IF(MONTH(R12)&lt;4,1,0)&amp;" "&amp;CHOOSE(MATCH(MONTH(R12),{1,4,7,10}),"Q4","Q1","Q2","Q3")</f>
        <v>FY2026 Q2</v>
      </c>
      <c r="T12" s="10" t="s">
        <v>21</v>
      </c>
      <c r="U12" s="14">
        <v>4.3600000000000003</v>
      </c>
    </row>
    <row r="13" spans="1:21">
      <c r="A13" s="2">
        <v>106003</v>
      </c>
      <c r="B13" s="3" t="s">
        <v>21</v>
      </c>
      <c r="C13" s="2" t="s">
        <v>98</v>
      </c>
      <c r="D13" s="2" t="s">
        <v>99</v>
      </c>
      <c r="E13" s="2" t="s">
        <v>100</v>
      </c>
      <c r="F13" s="2" t="s">
        <v>101</v>
      </c>
      <c r="G13" s="2" t="s">
        <v>26</v>
      </c>
      <c r="H13" s="2" t="s">
        <v>27</v>
      </c>
      <c r="I13" s="2" t="s">
        <v>27</v>
      </c>
      <c r="J13" s="2" t="s">
        <v>29</v>
      </c>
      <c r="K13" s="2" t="s">
        <v>30</v>
      </c>
      <c r="L13" s="2" t="s">
        <v>31</v>
      </c>
      <c r="M13" s="2" t="s">
        <v>32</v>
      </c>
      <c r="N13" s="2" t="s">
        <v>33</v>
      </c>
      <c r="O13" s="8">
        <v>37967</v>
      </c>
      <c r="P13" s="2" t="s">
        <v>34</v>
      </c>
      <c r="Q13" s="2" t="s">
        <v>35</v>
      </c>
      <c r="R13" s="9">
        <v>46279</v>
      </c>
      <c r="S13" s="1" t="str">
        <f>"FY"&amp;YEAR(R13)-IF(MONTH(R13)&lt;4,1,0)&amp;" "&amp;CHOOSE(MATCH(MONTH(R13),{1,4,7,10}),"Q4","Q1","Q2","Q3")</f>
        <v>FY2026 Q2</v>
      </c>
      <c r="T13" s="10" t="s">
        <v>21</v>
      </c>
      <c r="U13" s="14">
        <v>4.21</v>
      </c>
    </row>
    <row r="14" spans="1:21">
      <c r="A14" s="2">
        <v>106138</v>
      </c>
      <c r="B14" s="7" t="s">
        <v>21</v>
      </c>
      <c r="C14" s="2" t="s">
        <v>102</v>
      </c>
      <c r="D14" s="2" t="s">
        <v>103</v>
      </c>
      <c r="E14" s="2" t="s">
        <v>104</v>
      </c>
      <c r="F14" s="2" t="s">
        <v>40</v>
      </c>
      <c r="G14" s="2" t="s">
        <v>26</v>
      </c>
      <c r="H14" s="2" t="s">
        <v>27</v>
      </c>
      <c r="I14" s="2" t="s">
        <v>27</v>
      </c>
      <c r="J14" s="2" t="s">
        <v>29</v>
      </c>
      <c r="K14" s="2" t="s">
        <v>30</v>
      </c>
      <c r="L14" s="2" t="s">
        <v>31</v>
      </c>
      <c r="M14" s="2" t="s">
        <v>32</v>
      </c>
      <c r="N14" s="2" t="s">
        <v>33</v>
      </c>
      <c r="O14" s="8">
        <v>35492</v>
      </c>
      <c r="P14" s="2" t="s">
        <v>34</v>
      </c>
      <c r="Q14" s="2" t="s">
        <v>35</v>
      </c>
      <c r="R14" s="9">
        <v>46275</v>
      </c>
      <c r="S14" s="1" t="str">
        <f>"FY"&amp;YEAR(R14)-IF(MONTH(R14)&lt;4,1,0)&amp;" "&amp;CHOOSE(MATCH(MONTH(R14),{1,4,7,10}),"Q4","Q1","Q2","Q3")</f>
        <v>FY2026 Q2</v>
      </c>
      <c r="T14" s="10" t="s">
        <v>21</v>
      </c>
      <c r="U14" s="14">
        <v>4.08</v>
      </c>
    </row>
    <row r="15" spans="1:21">
      <c r="A15" s="2">
        <v>106385</v>
      </c>
      <c r="B15" s="3" t="s">
        <v>21</v>
      </c>
      <c r="C15" s="2" t="s">
        <v>105</v>
      </c>
      <c r="D15" s="2" t="s">
        <v>106</v>
      </c>
      <c r="E15" s="2" t="s">
        <v>107</v>
      </c>
      <c r="F15" s="2" t="s">
        <v>108</v>
      </c>
      <c r="G15" s="2" t="s">
        <v>26</v>
      </c>
      <c r="H15" s="2" t="s">
        <v>27</v>
      </c>
      <c r="I15" s="2" t="s">
        <v>109</v>
      </c>
      <c r="J15" s="2" t="s">
        <v>80</v>
      </c>
      <c r="K15" s="2" t="s">
        <v>110</v>
      </c>
      <c r="L15" s="2" t="s">
        <v>111</v>
      </c>
      <c r="M15" s="2" t="s">
        <v>112</v>
      </c>
      <c r="N15" s="2" t="s">
        <v>113</v>
      </c>
      <c r="O15" s="8">
        <v>45413</v>
      </c>
      <c r="P15" s="2" t="s">
        <v>34</v>
      </c>
      <c r="Q15" s="2" t="s">
        <v>35</v>
      </c>
      <c r="R15" s="9">
        <v>46276</v>
      </c>
      <c r="S15" s="1" t="str">
        <f>"FY"&amp;YEAR(R15)-IF(MONTH(R15)&lt;4,1,0)&amp;" "&amp;CHOOSE(MATCH(MONTH(R15),{1,4,7,10}),"Q4","Q1","Q2","Q3")</f>
        <v>FY2026 Q2</v>
      </c>
      <c r="T15" s="10" t="s">
        <v>21</v>
      </c>
      <c r="U15" s="4" t="s">
        <v>57</v>
      </c>
    </row>
    <row r="16" spans="1:21">
      <c r="A16" s="2">
        <v>111249</v>
      </c>
      <c r="B16" s="3" t="s">
        <v>21</v>
      </c>
      <c r="C16" s="2" t="s">
        <v>114</v>
      </c>
      <c r="D16" s="2" t="s">
        <v>115</v>
      </c>
      <c r="E16" s="2" t="s">
        <v>116</v>
      </c>
      <c r="F16" s="2" t="s">
        <v>51</v>
      </c>
      <c r="G16" s="2" t="s">
        <v>26</v>
      </c>
      <c r="H16" s="2" t="s">
        <v>52</v>
      </c>
      <c r="I16" s="2" t="s">
        <v>52</v>
      </c>
      <c r="J16" s="2" t="s">
        <v>61</v>
      </c>
      <c r="K16" s="2" t="s">
        <v>62</v>
      </c>
      <c r="L16" s="2" t="s">
        <v>63</v>
      </c>
      <c r="M16" s="2" t="s">
        <v>56</v>
      </c>
      <c r="N16" s="2" t="s">
        <v>33</v>
      </c>
      <c r="O16" s="8">
        <v>40336</v>
      </c>
      <c r="P16" s="2" t="s">
        <v>34</v>
      </c>
      <c r="Q16" s="2" t="s">
        <v>35</v>
      </c>
      <c r="R16" s="9">
        <v>46279</v>
      </c>
      <c r="S16" s="1" t="str">
        <f>"FY"&amp;YEAR(R16)-IF(MONTH(R16)&lt;4,1,0)&amp;" "&amp;CHOOSE(MATCH(MONTH(R16),{1,4,7,10}),"Q4","Q1","Q2","Q3")</f>
        <v>FY2026 Q2</v>
      </c>
      <c r="T16" s="10" t="s">
        <v>21</v>
      </c>
      <c r="U16" s="4" t="s">
        <v>57</v>
      </c>
    </row>
    <row r="17" spans="1:21">
      <c r="A17" s="2">
        <v>111259</v>
      </c>
      <c r="B17" s="7" t="s">
        <v>21</v>
      </c>
      <c r="C17" s="2" t="s">
        <v>117</v>
      </c>
      <c r="D17" s="2" t="s">
        <v>118</v>
      </c>
      <c r="E17" s="2" t="s">
        <v>119</v>
      </c>
      <c r="F17" s="2" t="s">
        <v>51</v>
      </c>
      <c r="G17" s="2" t="s">
        <v>26</v>
      </c>
      <c r="H17" s="2" t="s">
        <v>120</v>
      </c>
      <c r="I17" s="2" t="s">
        <v>120</v>
      </c>
      <c r="J17" s="2" t="s">
        <v>121</v>
      </c>
      <c r="K17" s="2" t="s">
        <v>122</v>
      </c>
      <c r="L17" s="2" t="s">
        <v>123</v>
      </c>
      <c r="M17" s="2" t="s">
        <v>56</v>
      </c>
      <c r="N17" s="2" t="s">
        <v>33</v>
      </c>
      <c r="O17" s="8">
        <v>40330</v>
      </c>
      <c r="P17" s="2" t="s">
        <v>34</v>
      </c>
      <c r="Q17" s="2" t="s">
        <v>35</v>
      </c>
      <c r="R17" s="9">
        <v>46229</v>
      </c>
      <c r="S17" s="1" t="str">
        <f>"FY"&amp;YEAR(R17)-IF(MONTH(R17)&lt;4,1,0)&amp;" "&amp;CHOOSE(MATCH(MONTH(R17),{1,4,7,10}),"Q4","Q1","Q2","Q3")</f>
        <v>FY2026 Q2</v>
      </c>
      <c r="T17" s="10" t="s">
        <v>21</v>
      </c>
      <c r="U17" s="4" t="s">
        <v>57</v>
      </c>
    </row>
    <row r="18" spans="1:21">
      <c r="A18" s="2">
        <v>113193</v>
      </c>
      <c r="B18" s="3" t="s">
        <v>21</v>
      </c>
      <c r="C18" s="2" t="s">
        <v>124</v>
      </c>
      <c r="D18" s="2" t="s">
        <v>125</v>
      </c>
      <c r="E18" s="2" t="s">
        <v>126</v>
      </c>
      <c r="F18" s="2" t="s">
        <v>101</v>
      </c>
      <c r="G18" s="2" t="s">
        <v>26</v>
      </c>
      <c r="H18" s="2" t="s">
        <v>83</v>
      </c>
      <c r="I18" s="2" t="s">
        <v>83</v>
      </c>
      <c r="J18" s="2" t="s">
        <v>80</v>
      </c>
      <c r="K18" s="2" t="s">
        <v>81</v>
      </c>
      <c r="L18" s="2" t="s">
        <v>82</v>
      </c>
      <c r="M18" s="2" t="s">
        <v>56</v>
      </c>
      <c r="N18" s="2" t="s">
        <v>33</v>
      </c>
      <c r="O18" s="8">
        <v>36528</v>
      </c>
      <c r="P18" s="2" t="s">
        <v>34</v>
      </c>
      <c r="Q18" s="2" t="s">
        <v>35</v>
      </c>
      <c r="R18" s="9">
        <v>46259</v>
      </c>
      <c r="S18" s="1" t="str">
        <f>"FY"&amp;YEAR(R18)-IF(MONTH(R18)&lt;4,1,0)&amp;" "&amp;CHOOSE(MATCH(MONTH(R18),{1,4,7,10}),"Q4","Q1","Q2","Q3")</f>
        <v>FY2026 Q2</v>
      </c>
      <c r="T18" s="10" t="s">
        <v>21</v>
      </c>
      <c r="U18" s="14">
        <v>4.42</v>
      </c>
    </row>
    <row r="19" spans="1:21">
      <c r="A19" s="2">
        <v>115144</v>
      </c>
      <c r="B19" s="7" t="s">
        <v>21</v>
      </c>
      <c r="C19" s="2" t="s">
        <v>127</v>
      </c>
      <c r="D19" s="2" t="s">
        <v>128</v>
      </c>
      <c r="E19" s="2" t="s">
        <v>129</v>
      </c>
      <c r="F19" s="2" t="s">
        <v>130</v>
      </c>
      <c r="G19" s="2" t="s">
        <v>26</v>
      </c>
      <c r="H19" s="2" t="s">
        <v>83</v>
      </c>
      <c r="I19" s="2" t="s">
        <v>83</v>
      </c>
      <c r="J19" s="2" t="s">
        <v>80</v>
      </c>
      <c r="K19" s="2" t="s">
        <v>81</v>
      </c>
      <c r="L19" s="2" t="s">
        <v>82</v>
      </c>
      <c r="M19" s="2" t="s">
        <v>56</v>
      </c>
      <c r="N19" s="2" t="s">
        <v>33</v>
      </c>
      <c r="O19" s="8">
        <v>41362</v>
      </c>
      <c r="P19" s="2" t="s">
        <v>34</v>
      </c>
      <c r="Q19" s="2" t="s">
        <v>35</v>
      </c>
      <c r="R19" s="9">
        <v>46279</v>
      </c>
      <c r="S19" s="1" t="str">
        <f>"FY"&amp;YEAR(R19)-IF(MONTH(R19)&lt;4,1,0)&amp;" "&amp;CHOOSE(MATCH(MONTH(R19),{1,4,7,10}),"Q4","Q1","Q2","Q3")</f>
        <v>FY2026 Q2</v>
      </c>
      <c r="T19" s="10" t="s">
        <v>21</v>
      </c>
      <c r="U19" s="14">
        <v>3.81</v>
      </c>
    </row>
    <row r="20" spans="1:21">
      <c r="A20" s="2">
        <v>115424</v>
      </c>
      <c r="B20" s="7" t="s">
        <v>21</v>
      </c>
      <c r="C20" s="2" t="s">
        <v>131</v>
      </c>
      <c r="D20" s="2" t="s">
        <v>132</v>
      </c>
      <c r="E20" s="2" t="s">
        <v>133</v>
      </c>
      <c r="F20" s="2" t="s">
        <v>130</v>
      </c>
      <c r="G20" s="2" t="s">
        <v>26</v>
      </c>
      <c r="H20" s="2" t="s">
        <v>52</v>
      </c>
      <c r="I20" s="2" t="s">
        <v>52</v>
      </c>
      <c r="J20" s="2" t="s">
        <v>134</v>
      </c>
      <c r="K20" s="2" t="s">
        <v>135</v>
      </c>
      <c r="L20" s="2" t="s">
        <v>136</v>
      </c>
      <c r="M20" s="2" t="s">
        <v>51</v>
      </c>
      <c r="N20" s="2" t="s">
        <v>33</v>
      </c>
      <c r="O20" s="8">
        <v>41456</v>
      </c>
      <c r="P20" s="2" t="s">
        <v>34</v>
      </c>
      <c r="Q20" s="2" t="s">
        <v>35</v>
      </c>
      <c r="R20" s="9">
        <v>46283</v>
      </c>
      <c r="S20" s="1" t="str">
        <f>"FY"&amp;YEAR(R20)-IF(MONTH(R20)&lt;4,1,0)&amp;" "&amp;CHOOSE(MATCH(MONTH(R20),{1,4,7,10}),"Q4","Q1","Q2","Q3")</f>
        <v>FY2026 Q2</v>
      </c>
      <c r="T20" s="10" t="s">
        <v>21</v>
      </c>
      <c r="U20" s="14">
        <v>3.83</v>
      </c>
    </row>
    <row r="21" spans="1:21">
      <c r="A21" s="2">
        <v>117563</v>
      </c>
      <c r="B21" s="7" t="s">
        <v>21</v>
      </c>
      <c r="C21" s="2" t="s">
        <v>137</v>
      </c>
      <c r="D21" s="2" t="s">
        <v>138</v>
      </c>
      <c r="E21" s="2" t="s">
        <v>139</v>
      </c>
      <c r="F21" s="2" t="s">
        <v>40</v>
      </c>
      <c r="G21" s="2" t="s">
        <v>26</v>
      </c>
      <c r="H21" s="2" t="s">
        <v>83</v>
      </c>
      <c r="I21" s="2" t="s">
        <v>83</v>
      </c>
      <c r="J21" s="2" t="s">
        <v>140</v>
      </c>
      <c r="K21" s="2" t="s">
        <v>141</v>
      </c>
      <c r="L21" s="2" t="s">
        <v>142</v>
      </c>
      <c r="M21" s="2" t="s">
        <v>51</v>
      </c>
      <c r="N21" s="2" t="s">
        <v>33</v>
      </c>
      <c r="O21" s="8">
        <v>42100</v>
      </c>
      <c r="P21" s="2" t="s">
        <v>34</v>
      </c>
      <c r="Q21" s="2" t="s">
        <v>35</v>
      </c>
      <c r="R21" s="9">
        <v>46274</v>
      </c>
      <c r="S21" s="1" t="str">
        <f>"FY"&amp;YEAR(R21)-IF(MONTH(R21)&lt;4,1,0)&amp;" "&amp;CHOOSE(MATCH(MONTH(R21),{1,4,7,10}),"Q4","Q1","Q2","Q3")</f>
        <v>FY2026 Q2</v>
      </c>
      <c r="T21" s="10" t="s">
        <v>21</v>
      </c>
      <c r="U21" s="14">
        <v>3.51</v>
      </c>
    </row>
    <row r="22" spans="1:21">
      <c r="A22" s="2">
        <v>118369</v>
      </c>
      <c r="B22" s="3" t="s">
        <v>21</v>
      </c>
      <c r="C22" s="2" t="s">
        <v>143</v>
      </c>
      <c r="D22" s="2" t="s">
        <v>144</v>
      </c>
      <c r="E22" s="2" t="s">
        <v>145</v>
      </c>
      <c r="F22" s="2" t="s">
        <v>146</v>
      </c>
      <c r="G22" s="2" t="s">
        <v>26</v>
      </c>
      <c r="H22" s="2" t="s">
        <v>52</v>
      </c>
      <c r="I22" s="2" t="s">
        <v>52</v>
      </c>
      <c r="J22" s="2" t="s">
        <v>68</v>
      </c>
      <c r="K22" s="2" t="s">
        <v>69</v>
      </c>
      <c r="L22" s="2" t="s">
        <v>70</v>
      </c>
      <c r="M22" s="2" t="s">
        <v>51</v>
      </c>
      <c r="N22" s="2" t="s">
        <v>33</v>
      </c>
      <c r="O22" s="8">
        <v>42282</v>
      </c>
      <c r="P22" s="2" t="s">
        <v>34</v>
      </c>
      <c r="Q22" s="2" t="s">
        <v>35</v>
      </c>
      <c r="R22" s="9">
        <v>46283</v>
      </c>
      <c r="S22" s="1" t="str">
        <f>"FY"&amp;YEAR(R22)-IF(MONTH(R22)&lt;4,1,0)&amp;" "&amp;CHOOSE(MATCH(MONTH(R22),{1,4,7,10}),"Q4","Q1","Q2","Q3")</f>
        <v>FY2026 Q2</v>
      </c>
      <c r="T22" s="10" t="s">
        <v>21</v>
      </c>
      <c r="U22" s="14">
        <v>3.83</v>
      </c>
    </row>
    <row r="23" spans="1:21">
      <c r="A23" s="2">
        <v>118764</v>
      </c>
      <c r="B23" s="7" t="s">
        <v>21</v>
      </c>
      <c r="C23" s="2" t="s">
        <v>134</v>
      </c>
      <c r="D23" s="2" t="s">
        <v>135</v>
      </c>
      <c r="E23" s="2" t="s">
        <v>136</v>
      </c>
      <c r="F23" s="2" t="s">
        <v>51</v>
      </c>
      <c r="G23" s="2" t="s">
        <v>26</v>
      </c>
      <c r="H23" s="2" t="s">
        <v>52</v>
      </c>
      <c r="I23" s="2" t="s">
        <v>52</v>
      </c>
      <c r="J23" s="2" t="s">
        <v>127</v>
      </c>
      <c r="K23" s="2" t="s">
        <v>147</v>
      </c>
      <c r="L23" s="2" t="s">
        <v>148</v>
      </c>
      <c r="M23" s="2" t="s">
        <v>87</v>
      </c>
      <c r="N23" s="2" t="s">
        <v>33</v>
      </c>
      <c r="O23" s="8">
        <v>42317</v>
      </c>
      <c r="P23" s="2" t="s">
        <v>34</v>
      </c>
      <c r="Q23" s="2" t="s">
        <v>35</v>
      </c>
      <c r="R23" s="9">
        <v>46281</v>
      </c>
      <c r="S23" s="1" t="str">
        <f>"FY"&amp;YEAR(R23)-IF(MONTH(R23)&lt;4,1,0)&amp;" "&amp;CHOOSE(MATCH(MONTH(R23),{1,4,7,10}),"Q4","Q1","Q2","Q3")</f>
        <v>FY2026 Q2</v>
      </c>
      <c r="T23" s="10" t="s">
        <v>21</v>
      </c>
      <c r="U23" s="4" t="s">
        <v>57</v>
      </c>
    </row>
    <row r="24" spans="1:21">
      <c r="A24" s="2">
        <v>119635</v>
      </c>
      <c r="B24" s="7" t="s">
        <v>21</v>
      </c>
      <c r="C24" s="2" t="s">
        <v>29</v>
      </c>
      <c r="D24" s="2" t="s">
        <v>30</v>
      </c>
      <c r="E24" s="2" t="s">
        <v>31</v>
      </c>
      <c r="F24" s="2" t="s">
        <v>32</v>
      </c>
      <c r="G24" s="2" t="s">
        <v>26</v>
      </c>
      <c r="H24" s="2" t="s">
        <v>27</v>
      </c>
      <c r="I24" s="2" t="s">
        <v>27</v>
      </c>
      <c r="J24" s="2" t="s">
        <v>149</v>
      </c>
      <c r="K24" s="2" t="s">
        <v>30</v>
      </c>
      <c r="L24" s="2" t="s">
        <v>150</v>
      </c>
      <c r="M24" s="2" t="s">
        <v>87</v>
      </c>
      <c r="N24" s="2" t="s">
        <v>33</v>
      </c>
      <c r="O24" s="8">
        <v>43996</v>
      </c>
      <c r="P24" s="2" t="s">
        <v>34</v>
      </c>
      <c r="Q24" s="2" t="s">
        <v>35</v>
      </c>
      <c r="R24" s="9">
        <v>46224</v>
      </c>
      <c r="S24" s="1" t="str">
        <f>"FY"&amp;YEAR(R24)-IF(MONTH(R24)&lt;4,1,0)&amp;" "&amp;CHOOSE(MATCH(MONTH(R24),{1,4,7,10}),"Q4","Q1","Q2","Q3")</f>
        <v>FY2026 Q2</v>
      </c>
      <c r="T24" s="10" t="s">
        <v>21</v>
      </c>
      <c r="U24" s="4" t="s">
        <v>57</v>
      </c>
    </row>
    <row r="25" spans="1:21">
      <c r="A25" s="2">
        <v>120343</v>
      </c>
      <c r="B25" s="7" t="s">
        <v>21</v>
      </c>
      <c r="C25" s="2" t="s">
        <v>151</v>
      </c>
      <c r="D25" s="2" t="s">
        <v>152</v>
      </c>
      <c r="E25" s="2" t="s">
        <v>153</v>
      </c>
      <c r="F25" s="2" t="s">
        <v>130</v>
      </c>
      <c r="G25" s="2" t="s">
        <v>26</v>
      </c>
      <c r="H25" s="2" t="s">
        <v>83</v>
      </c>
      <c r="I25" s="2" t="s">
        <v>83</v>
      </c>
      <c r="J25" s="2" t="s">
        <v>80</v>
      </c>
      <c r="K25" s="2" t="s">
        <v>81</v>
      </c>
      <c r="L25" s="2" t="s">
        <v>82</v>
      </c>
      <c r="M25" s="2" t="s">
        <v>56</v>
      </c>
      <c r="N25" s="2" t="s">
        <v>33</v>
      </c>
      <c r="O25" s="8">
        <v>42821</v>
      </c>
      <c r="P25" s="2" t="s">
        <v>34</v>
      </c>
      <c r="Q25" s="2" t="s">
        <v>35</v>
      </c>
      <c r="R25" s="9">
        <v>46275</v>
      </c>
      <c r="S25" s="1" t="str">
        <f>"FY"&amp;YEAR(R25)-IF(MONTH(R25)&lt;4,1,0)&amp;" "&amp;CHOOSE(MATCH(MONTH(R25),{1,4,7,10}),"Q4","Q1","Q2","Q3")</f>
        <v>FY2026 Q2</v>
      </c>
      <c r="T25" s="10" t="s">
        <v>21</v>
      </c>
      <c r="U25" s="14">
        <v>3.86</v>
      </c>
    </row>
    <row r="26" spans="1:21">
      <c r="A26" s="2">
        <v>120999</v>
      </c>
      <c r="B26" s="3" t="s">
        <v>21</v>
      </c>
      <c r="C26" s="2" t="s">
        <v>154</v>
      </c>
      <c r="D26" s="2" t="s">
        <v>155</v>
      </c>
      <c r="E26" s="2" t="s">
        <v>156</v>
      </c>
      <c r="F26" s="2" t="s">
        <v>51</v>
      </c>
      <c r="G26" s="2" t="s">
        <v>26</v>
      </c>
      <c r="H26" s="2" t="s">
        <v>52</v>
      </c>
      <c r="I26" s="2" t="s">
        <v>52</v>
      </c>
      <c r="J26" s="2" t="s">
        <v>77</v>
      </c>
      <c r="K26" s="2" t="s">
        <v>78</v>
      </c>
      <c r="L26" s="2" t="s">
        <v>79</v>
      </c>
      <c r="M26" s="2" t="s">
        <v>56</v>
      </c>
      <c r="N26" s="2" t="s">
        <v>33</v>
      </c>
      <c r="O26" s="8">
        <v>44403</v>
      </c>
      <c r="P26" s="2" t="s">
        <v>34</v>
      </c>
      <c r="Q26" s="2" t="s">
        <v>35</v>
      </c>
      <c r="R26" s="9">
        <v>46276</v>
      </c>
      <c r="S26" s="1" t="str">
        <f>"FY"&amp;YEAR(R26)-IF(MONTH(R26)&lt;4,1,0)&amp;" "&amp;CHOOSE(MATCH(MONTH(R26),{1,4,7,10}),"Q4","Q1","Q2","Q3")</f>
        <v>FY2026 Q2</v>
      </c>
      <c r="T26" s="10" t="s">
        <v>21</v>
      </c>
      <c r="U26" s="4" t="s">
        <v>57</v>
      </c>
    </row>
    <row r="27" spans="1:21">
      <c r="A27" s="2">
        <v>121515</v>
      </c>
      <c r="B27" s="7" t="s">
        <v>21</v>
      </c>
      <c r="C27" s="2" t="s">
        <v>140</v>
      </c>
      <c r="D27" s="2" t="s">
        <v>141</v>
      </c>
      <c r="E27" s="2" t="s">
        <v>142</v>
      </c>
      <c r="F27" s="2" t="s">
        <v>51</v>
      </c>
      <c r="G27" s="2" t="s">
        <v>26</v>
      </c>
      <c r="H27" s="2" t="s">
        <v>83</v>
      </c>
      <c r="I27" s="2" t="s">
        <v>83</v>
      </c>
      <c r="J27" s="2" t="s">
        <v>80</v>
      </c>
      <c r="K27" s="2" t="s">
        <v>81</v>
      </c>
      <c r="L27" s="2" t="s">
        <v>82</v>
      </c>
      <c r="M27" s="2" t="s">
        <v>56</v>
      </c>
      <c r="N27" s="2" t="s">
        <v>33</v>
      </c>
      <c r="O27" s="8">
        <v>43241</v>
      </c>
      <c r="P27" s="2" t="s">
        <v>34</v>
      </c>
      <c r="Q27" s="2" t="s">
        <v>35</v>
      </c>
      <c r="R27" s="9">
        <v>46245</v>
      </c>
      <c r="S27" s="1" t="str">
        <f>"FY"&amp;YEAR(R27)-IF(MONTH(R27)&lt;4,1,0)&amp;" "&amp;CHOOSE(MATCH(MONTH(R27),{1,4,7,10}),"Q4","Q1","Q2","Q3")</f>
        <v>FY2026 Q2</v>
      </c>
      <c r="T27" s="10" t="s">
        <v>21</v>
      </c>
      <c r="U27" s="4" t="s">
        <v>57</v>
      </c>
    </row>
    <row r="28" spans="1:21">
      <c r="A28" s="2">
        <v>121571</v>
      </c>
      <c r="B28" s="3" t="s">
        <v>21</v>
      </c>
      <c r="C28" s="2" t="s">
        <v>157</v>
      </c>
      <c r="D28" s="2" t="s">
        <v>158</v>
      </c>
      <c r="E28" s="2" t="s">
        <v>159</v>
      </c>
      <c r="F28" s="2" t="s">
        <v>51</v>
      </c>
      <c r="G28" s="2" t="s">
        <v>26</v>
      </c>
      <c r="H28" s="2" t="s">
        <v>52</v>
      </c>
      <c r="I28" s="2" t="s">
        <v>52</v>
      </c>
      <c r="J28" s="2" t="s">
        <v>77</v>
      </c>
      <c r="K28" s="2" t="s">
        <v>78</v>
      </c>
      <c r="L28" s="2" t="s">
        <v>79</v>
      </c>
      <c r="M28" s="2" t="s">
        <v>56</v>
      </c>
      <c r="N28" s="2" t="s">
        <v>33</v>
      </c>
      <c r="O28" s="8">
        <v>43262</v>
      </c>
      <c r="P28" s="2" t="s">
        <v>34</v>
      </c>
      <c r="Q28" s="2" t="s">
        <v>35</v>
      </c>
      <c r="R28" s="9">
        <v>46247</v>
      </c>
      <c r="S28" s="1" t="str">
        <f>"FY"&amp;YEAR(R28)-IF(MONTH(R28)&lt;4,1,0)&amp;" "&amp;CHOOSE(MATCH(MONTH(R28),{1,4,7,10}),"Q4","Q1","Q2","Q3")</f>
        <v>FY2026 Q2</v>
      </c>
      <c r="T28" s="10" t="s">
        <v>21</v>
      </c>
      <c r="U28" s="4" t="s">
        <v>57</v>
      </c>
    </row>
    <row r="29" spans="1:21">
      <c r="A29" s="2">
        <v>122812</v>
      </c>
      <c r="B29" s="7" t="s">
        <v>21</v>
      </c>
      <c r="C29" s="2" t="s">
        <v>160</v>
      </c>
      <c r="D29" s="2" t="s">
        <v>161</v>
      </c>
      <c r="E29" s="2" t="s">
        <v>162</v>
      </c>
      <c r="F29" s="2" t="s">
        <v>25</v>
      </c>
      <c r="G29" s="2" t="s">
        <v>26</v>
      </c>
      <c r="H29" s="2" t="s">
        <v>27</v>
      </c>
      <c r="I29" s="2" t="s">
        <v>27</v>
      </c>
      <c r="J29" s="2" t="s">
        <v>29</v>
      </c>
      <c r="K29" s="2" t="s">
        <v>30</v>
      </c>
      <c r="L29" s="2" t="s">
        <v>31</v>
      </c>
      <c r="M29" s="2" t="s">
        <v>32</v>
      </c>
      <c r="N29" s="2" t="s">
        <v>33</v>
      </c>
      <c r="O29" s="8">
        <v>43557</v>
      </c>
      <c r="P29" s="2" t="s">
        <v>34</v>
      </c>
      <c r="Q29" s="2" t="s">
        <v>35</v>
      </c>
      <c r="R29" s="9">
        <v>46265</v>
      </c>
      <c r="S29" s="1" t="str">
        <f>"FY"&amp;YEAR(R29)-IF(MONTH(R29)&lt;4,1,0)&amp;" "&amp;CHOOSE(MATCH(MONTH(R29),{1,4,7,10}),"Q4","Q1","Q2","Q3")</f>
        <v>FY2026 Q2</v>
      </c>
      <c r="T29" s="10" t="s">
        <v>21</v>
      </c>
      <c r="U29" s="14">
        <v>4.05</v>
      </c>
    </row>
    <row r="30" spans="1:21">
      <c r="A30" s="2">
        <v>123471</v>
      </c>
      <c r="B30" s="7" t="s">
        <v>21</v>
      </c>
      <c r="C30" s="2" t="s">
        <v>163</v>
      </c>
      <c r="D30" s="2" t="s">
        <v>118</v>
      </c>
      <c r="E30" s="2" t="s">
        <v>164</v>
      </c>
      <c r="F30" s="2" t="s">
        <v>67</v>
      </c>
      <c r="G30" s="2" t="s">
        <v>26</v>
      </c>
      <c r="H30" s="2" t="s">
        <v>91</v>
      </c>
      <c r="I30" s="2" t="s">
        <v>91</v>
      </c>
      <c r="J30" s="2" t="s">
        <v>92</v>
      </c>
      <c r="K30" s="2" t="s">
        <v>93</v>
      </c>
      <c r="L30" s="2" t="s">
        <v>94</v>
      </c>
      <c r="M30" s="2" t="s">
        <v>32</v>
      </c>
      <c r="N30" s="2" t="s">
        <v>33</v>
      </c>
      <c r="O30" s="8">
        <v>43753</v>
      </c>
      <c r="P30" s="2" t="s">
        <v>34</v>
      </c>
      <c r="Q30" s="2" t="s">
        <v>35</v>
      </c>
      <c r="R30" s="9">
        <v>46266</v>
      </c>
      <c r="S30" s="1" t="str">
        <f>"FY"&amp;YEAR(R30)-IF(MONTH(R30)&lt;4,1,0)&amp;" "&amp;CHOOSE(MATCH(MONTH(R30),{1,4,7,10}),"Q4","Q1","Q2","Q3")</f>
        <v>FY2026 Q2</v>
      </c>
      <c r="T30" s="10" t="s">
        <v>21</v>
      </c>
      <c r="U30" s="14">
        <v>3.84</v>
      </c>
    </row>
    <row r="31" spans="1:21">
      <c r="A31" s="2">
        <v>123690</v>
      </c>
      <c r="B31" s="7" t="s">
        <v>21</v>
      </c>
      <c r="C31" s="2" t="s">
        <v>165</v>
      </c>
      <c r="D31" s="2" t="s">
        <v>166</v>
      </c>
      <c r="E31" s="2" t="s">
        <v>167</v>
      </c>
      <c r="F31" s="2" t="s">
        <v>32</v>
      </c>
      <c r="G31" s="2" t="s">
        <v>26</v>
      </c>
      <c r="H31" s="2" t="s">
        <v>120</v>
      </c>
      <c r="I31" s="2" t="s">
        <v>120</v>
      </c>
      <c r="J31" s="2" t="s">
        <v>121</v>
      </c>
      <c r="K31" s="2" t="s">
        <v>122</v>
      </c>
      <c r="L31" s="2" t="s">
        <v>123</v>
      </c>
      <c r="M31" s="2" t="s">
        <v>56</v>
      </c>
      <c r="N31" s="2" t="s">
        <v>33</v>
      </c>
      <c r="O31" s="8">
        <v>43844</v>
      </c>
      <c r="P31" s="2" t="s">
        <v>34</v>
      </c>
      <c r="Q31" s="2" t="s">
        <v>35</v>
      </c>
      <c r="R31" s="9">
        <v>46232</v>
      </c>
      <c r="S31" s="1" t="str">
        <f>"FY"&amp;YEAR(R31)-IF(MONTH(R31)&lt;4,1,0)&amp;" "&amp;CHOOSE(MATCH(MONTH(R31),{1,4,7,10}),"Q4","Q1","Q2","Q3")</f>
        <v>FY2026 Q2</v>
      </c>
      <c r="T31" s="10" t="s">
        <v>21</v>
      </c>
      <c r="U31" s="4" t="s">
        <v>57</v>
      </c>
    </row>
    <row r="32" spans="1:21">
      <c r="A32" s="2">
        <v>123862</v>
      </c>
      <c r="B32" s="3" t="s">
        <v>21</v>
      </c>
      <c r="C32" s="2" t="s">
        <v>168</v>
      </c>
      <c r="D32" s="2" t="s">
        <v>169</v>
      </c>
      <c r="E32" s="2" t="s">
        <v>170</v>
      </c>
      <c r="F32" s="2" t="s">
        <v>40</v>
      </c>
      <c r="G32" s="2" t="s">
        <v>26</v>
      </c>
      <c r="H32" s="2" t="s">
        <v>52</v>
      </c>
      <c r="I32" s="2" t="s">
        <v>52</v>
      </c>
      <c r="J32" s="2" t="s">
        <v>157</v>
      </c>
      <c r="K32" s="2" t="s">
        <v>158</v>
      </c>
      <c r="L32" s="2" t="s">
        <v>159</v>
      </c>
      <c r="M32" s="2" t="s">
        <v>51</v>
      </c>
      <c r="N32" s="2" t="s">
        <v>33</v>
      </c>
      <c r="O32" s="8">
        <v>45706</v>
      </c>
      <c r="P32" s="2" t="s">
        <v>34</v>
      </c>
      <c r="Q32" s="2" t="s">
        <v>35</v>
      </c>
      <c r="R32" s="9">
        <v>46280</v>
      </c>
      <c r="S32" s="1" t="str">
        <f>"FY"&amp;YEAR(R32)-IF(MONTH(R32)&lt;4,1,0)&amp;" "&amp;CHOOSE(MATCH(MONTH(R32),{1,4,7,10}),"Q4","Q1","Q2","Q3")</f>
        <v>FY2026 Q2</v>
      </c>
      <c r="T32" s="10" t="s">
        <v>21</v>
      </c>
      <c r="U32" s="14">
        <v>3.29</v>
      </c>
    </row>
    <row r="33" spans="1:21">
      <c r="A33" s="2">
        <v>124443</v>
      </c>
      <c r="B33" s="7" t="s">
        <v>21</v>
      </c>
      <c r="C33" s="2" t="s">
        <v>171</v>
      </c>
      <c r="D33" s="2" t="s">
        <v>172</v>
      </c>
      <c r="E33" s="2" t="s">
        <v>173</v>
      </c>
      <c r="F33" s="2" t="s">
        <v>51</v>
      </c>
      <c r="G33" s="2" t="s">
        <v>26</v>
      </c>
      <c r="H33" s="2" t="s">
        <v>83</v>
      </c>
      <c r="I33" s="2" t="s">
        <v>83</v>
      </c>
      <c r="J33" s="2" t="s">
        <v>45</v>
      </c>
      <c r="K33" s="2" t="s">
        <v>174</v>
      </c>
      <c r="L33" s="2" t="s">
        <v>175</v>
      </c>
      <c r="M33" s="2" t="s">
        <v>56</v>
      </c>
      <c r="N33" s="2" t="s">
        <v>33</v>
      </c>
      <c r="O33" s="8">
        <v>44312</v>
      </c>
      <c r="P33" s="2" t="s">
        <v>34</v>
      </c>
      <c r="Q33" s="2" t="s">
        <v>35</v>
      </c>
      <c r="R33" s="9">
        <v>46230</v>
      </c>
      <c r="S33" s="1" t="str">
        <f>"FY"&amp;YEAR(R33)-IF(MONTH(R33)&lt;4,1,0)&amp;" "&amp;CHOOSE(MATCH(MONTH(R33),{1,4,7,10}),"Q4","Q1","Q2","Q3")</f>
        <v>FY2026 Q2</v>
      </c>
      <c r="T33" s="10" t="s">
        <v>21</v>
      </c>
      <c r="U33" s="4" t="s">
        <v>57</v>
      </c>
    </row>
    <row r="34" spans="1:21">
      <c r="A34" s="2">
        <v>125310</v>
      </c>
      <c r="B34" s="7" t="s">
        <v>21</v>
      </c>
      <c r="C34" s="2" t="s">
        <v>176</v>
      </c>
      <c r="D34" s="2" t="s">
        <v>177</v>
      </c>
      <c r="E34" s="2" t="s">
        <v>178</v>
      </c>
      <c r="F34" s="2" t="s">
        <v>40</v>
      </c>
      <c r="G34" s="2" t="s">
        <v>26</v>
      </c>
      <c r="H34" s="2" t="s">
        <v>83</v>
      </c>
      <c r="I34" s="2" t="s">
        <v>83</v>
      </c>
      <c r="J34" s="2" t="s">
        <v>80</v>
      </c>
      <c r="K34" s="2" t="s">
        <v>81</v>
      </c>
      <c r="L34" s="2" t="s">
        <v>82</v>
      </c>
      <c r="M34" s="2" t="s">
        <v>56</v>
      </c>
      <c r="N34" s="2" t="s">
        <v>33</v>
      </c>
      <c r="O34" s="8">
        <v>44627</v>
      </c>
      <c r="P34" s="2" t="s">
        <v>34</v>
      </c>
      <c r="Q34" s="2" t="s">
        <v>35</v>
      </c>
      <c r="R34" s="9">
        <v>46276</v>
      </c>
      <c r="S34" s="1" t="str">
        <f>"FY"&amp;YEAR(R34)-IF(MONTH(R34)&lt;4,1,0)&amp;" "&amp;CHOOSE(MATCH(MONTH(R34),{1,4,7,10}),"Q4","Q1","Q2","Q3")</f>
        <v>FY2026 Q2</v>
      </c>
      <c r="T34" s="10" t="s">
        <v>21</v>
      </c>
      <c r="U34" s="14">
        <v>3.95</v>
      </c>
    </row>
    <row r="35" spans="1:21">
      <c r="A35" s="2">
        <v>125769</v>
      </c>
      <c r="B35" s="3" t="s">
        <v>21</v>
      </c>
      <c r="C35" s="2" t="s">
        <v>74</v>
      </c>
      <c r="D35" s="2" t="s">
        <v>75</v>
      </c>
      <c r="E35" s="2" t="s">
        <v>76</v>
      </c>
      <c r="F35" s="2" t="s">
        <v>51</v>
      </c>
      <c r="G35" s="2" t="s">
        <v>26</v>
      </c>
      <c r="H35" s="2" t="s">
        <v>52</v>
      </c>
      <c r="I35" s="2" t="s">
        <v>52</v>
      </c>
      <c r="J35" s="2" t="s">
        <v>77</v>
      </c>
      <c r="K35" s="2" t="s">
        <v>78</v>
      </c>
      <c r="L35" s="2" t="s">
        <v>79</v>
      </c>
      <c r="M35" s="2" t="s">
        <v>56</v>
      </c>
      <c r="N35" s="2" t="s">
        <v>33</v>
      </c>
      <c r="O35" s="8">
        <v>44753</v>
      </c>
      <c r="P35" s="2" t="s">
        <v>34</v>
      </c>
      <c r="Q35" s="2" t="s">
        <v>35</v>
      </c>
      <c r="R35" s="9">
        <v>46279</v>
      </c>
      <c r="S35" s="1" t="str">
        <f>"FY"&amp;YEAR(R35)-IF(MONTH(R35)&lt;4,1,0)&amp;" "&amp;CHOOSE(MATCH(MONTH(R35),{1,4,7,10}),"Q4","Q1","Q2","Q3")</f>
        <v>FY2026 Q2</v>
      </c>
      <c r="T35" s="10" t="s">
        <v>21</v>
      </c>
      <c r="U35" s="4" t="s">
        <v>57</v>
      </c>
    </row>
    <row r="36" spans="1:21">
      <c r="A36" s="2">
        <v>125940</v>
      </c>
      <c r="B36" s="3" t="s">
        <v>21</v>
      </c>
      <c r="C36" s="2" t="s">
        <v>179</v>
      </c>
      <c r="D36" s="2" t="s">
        <v>180</v>
      </c>
      <c r="E36" s="2" t="s">
        <v>181</v>
      </c>
      <c r="F36" s="2" t="s">
        <v>182</v>
      </c>
      <c r="G36" s="2" t="s">
        <v>26</v>
      </c>
      <c r="H36" s="2" t="s">
        <v>120</v>
      </c>
      <c r="I36" s="2" t="s">
        <v>120</v>
      </c>
      <c r="J36" s="2" t="s">
        <v>45</v>
      </c>
      <c r="K36" s="2" t="s">
        <v>183</v>
      </c>
      <c r="L36" s="2" t="s">
        <v>184</v>
      </c>
      <c r="M36" s="2" t="s">
        <v>87</v>
      </c>
      <c r="N36" s="2" t="s">
        <v>33</v>
      </c>
      <c r="O36" s="8">
        <v>44825</v>
      </c>
      <c r="P36" s="2" t="s">
        <v>34</v>
      </c>
      <c r="Q36" s="2" t="s">
        <v>35</v>
      </c>
      <c r="R36" s="9">
        <v>46273</v>
      </c>
      <c r="S36" s="1" t="str">
        <f>"FY"&amp;YEAR(R36)-IF(MONTH(R36)&lt;4,1,0)&amp;" "&amp;CHOOSE(MATCH(MONTH(R36),{1,4,7,10}),"Q4","Q1","Q2","Q3")</f>
        <v>FY2026 Q2</v>
      </c>
      <c r="T36" s="10" t="s">
        <v>21</v>
      </c>
      <c r="U36" s="14">
        <v>3.86</v>
      </c>
    </row>
    <row r="37" spans="1:21">
      <c r="A37" s="2">
        <v>126110</v>
      </c>
      <c r="B37" s="7" t="s">
        <v>21</v>
      </c>
      <c r="C37" s="2" t="s">
        <v>185</v>
      </c>
      <c r="D37" s="2" t="s">
        <v>186</v>
      </c>
      <c r="E37" s="2" t="s">
        <v>187</v>
      </c>
      <c r="F37" s="2" t="s">
        <v>40</v>
      </c>
      <c r="G37" s="2" t="s">
        <v>26</v>
      </c>
      <c r="H37" s="2" t="s">
        <v>52</v>
      </c>
      <c r="I37" s="2" t="s">
        <v>52</v>
      </c>
      <c r="J37" s="2" t="s">
        <v>188</v>
      </c>
      <c r="K37" s="2" t="s">
        <v>189</v>
      </c>
      <c r="L37" s="2" t="s">
        <v>190</v>
      </c>
      <c r="M37" s="2" t="s">
        <v>51</v>
      </c>
      <c r="N37" s="2" t="s">
        <v>33</v>
      </c>
      <c r="O37" s="8">
        <v>44900</v>
      </c>
      <c r="P37" s="2" t="s">
        <v>34</v>
      </c>
      <c r="Q37" s="2" t="s">
        <v>35</v>
      </c>
      <c r="R37" s="9">
        <v>46283</v>
      </c>
      <c r="S37" s="1" t="str">
        <f>"FY"&amp;YEAR(R37)-IF(MONTH(R37)&lt;4,1,0)&amp;" "&amp;CHOOSE(MATCH(MONTH(R37),{1,4,7,10}),"Q4","Q1","Q2","Q3")</f>
        <v>FY2026 Q2</v>
      </c>
      <c r="T37" s="10" t="s">
        <v>21</v>
      </c>
      <c r="U37" s="14">
        <v>4.3499999999999996</v>
      </c>
    </row>
    <row r="38" spans="1:21">
      <c r="A38" s="2">
        <v>126128</v>
      </c>
      <c r="B38" s="7" t="s">
        <v>21</v>
      </c>
      <c r="C38" s="2" t="s">
        <v>188</v>
      </c>
      <c r="D38" s="2" t="s">
        <v>189</v>
      </c>
      <c r="E38" s="2" t="s">
        <v>190</v>
      </c>
      <c r="F38" s="2" t="s">
        <v>51</v>
      </c>
      <c r="G38" s="2" t="s">
        <v>26</v>
      </c>
      <c r="H38" s="2" t="s">
        <v>52</v>
      </c>
      <c r="I38" s="2" t="s">
        <v>52</v>
      </c>
      <c r="J38" s="2" t="s">
        <v>53</v>
      </c>
      <c r="K38" s="2" t="s">
        <v>54</v>
      </c>
      <c r="L38" s="2" t="s">
        <v>55</v>
      </c>
      <c r="M38" s="2" t="s">
        <v>56</v>
      </c>
      <c r="N38" s="2" t="s">
        <v>33</v>
      </c>
      <c r="O38" s="8">
        <v>44907</v>
      </c>
      <c r="P38" s="2" t="s">
        <v>34</v>
      </c>
      <c r="Q38" s="2" t="s">
        <v>35</v>
      </c>
      <c r="R38" s="9">
        <v>46276</v>
      </c>
      <c r="S38" s="1" t="str">
        <f>"FY"&amp;YEAR(R38)-IF(MONTH(R38)&lt;4,1,0)&amp;" "&amp;CHOOSE(MATCH(MONTH(R38),{1,4,7,10}),"Q4","Q1","Q2","Q3")</f>
        <v>FY2026 Q2</v>
      </c>
      <c r="T38" s="10" t="s">
        <v>21</v>
      </c>
      <c r="U38" s="4" t="s">
        <v>57</v>
      </c>
    </row>
    <row r="39" spans="1:21">
      <c r="A39" s="2">
        <v>126536</v>
      </c>
      <c r="B39" s="7" t="s">
        <v>21</v>
      </c>
      <c r="C39" s="2" t="s">
        <v>191</v>
      </c>
      <c r="D39" s="2" t="s">
        <v>192</v>
      </c>
      <c r="E39" s="2" t="s">
        <v>193</v>
      </c>
      <c r="F39" s="2" t="s">
        <v>130</v>
      </c>
      <c r="G39" s="2" t="s">
        <v>26</v>
      </c>
      <c r="H39" s="2" t="s">
        <v>27</v>
      </c>
      <c r="I39" s="2" t="s">
        <v>27</v>
      </c>
      <c r="J39" s="2" t="s">
        <v>29</v>
      </c>
      <c r="K39" s="2" t="s">
        <v>30</v>
      </c>
      <c r="L39" s="2" t="s">
        <v>31</v>
      </c>
      <c r="M39" s="2" t="s">
        <v>32</v>
      </c>
      <c r="N39" s="2" t="s">
        <v>33</v>
      </c>
      <c r="O39" s="8">
        <v>45035</v>
      </c>
      <c r="P39" s="2" t="s">
        <v>34</v>
      </c>
      <c r="Q39" s="2" t="s">
        <v>35</v>
      </c>
      <c r="R39" s="9">
        <v>46279</v>
      </c>
      <c r="S39" s="1" t="str">
        <f>"FY"&amp;YEAR(R39)-IF(MONTH(R39)&lt;4,1,0)&amp;" "&amp;CHOOSE(MATCH(MONTH(R39),{1,4,7,10}),"Q4","Q1","Q2","Q3")</f>
        <v>FY2026 Q2</v>
      </c>
      <c r="T39" s="10" t="s">
        <v>21</v>
      </c>
      <c r="U39" s="14">
        <v>4.21</v>
      </c>
    </row>
    <row r="40" spans="1:21">
      <c r="A40" s="2">
        <v>126595</v>
      </c>
      <c r="B40" s="7" t="s">
        <v>21</v>
      </c>
      <c r="C40" s="2" t="s">
        <v>194</v>
      </c>
      <c r="D40" s="2" t="s">
        <v>195</v>
      </c>
      <c r="E40" s="2" t="s">
        <v>196</v>
      </c>
      <c r="F40" s="2" t="s">
        <v>25</v>
      </c>
      <c r="G40" s="2" t="s">
        <v>26</v>
      </c>
      <c r="H40" s="2" t="s">
        <v>52</v>
      </c>
      <c r="I40" s="2" t="s">
        <v>52</v>
      </c>
      <c r="J40" s="2" t="s">
        <v>134</v>
      </c>
      <c r="K40" s="2" t="s">
        <v>135</v>
      </c>
      <c r="L40" s="2" t="s">
        <v>136</v>
      </c>
      <c r="M40" s="2" t="s">
        <v>51</v>
      </c>
      <c r="N40" s="2" t="s">
        <v>33</v>
      </c>
      <c r="O40" s="8">
        <v>45069</v>
      </c>
      <c r="P40" s="2" t="s">
        <v>34</v>
      </c>
      <c r="Q40" s="2" t="s">
        <v>35</v>
      </c>
      <c r="R40" s="9">
        <v>46283</v>
      </c>
      <c r="S40" s="1" t="str">
        <f>"FY"&amp;YEAR(R40)-IF(MONTH(R40)&lt;4,1,0)&amp;" "&amp;CHOOSE(MATCH(MONTH(R40),{1,4,7,10}),"Q4","Q1","Q2","Q3")</f>
        <v>FY2026 Q2</v>
      </c>
      <c r="T40" s="10" t="s">
        <v>21</v>
      </c>
      <c r="U40" s="14">
        <v>4.12</v>
      </c>
    </row>
    <row r="41" spans="1:21">
      <c r="A41" s="2">
        <v>126783</v>
      </c>
      <c r="B41" s="7" t="s">
        <v>21</v>
      </c>
      <c r="C41" s="2" t="s">
        <v>197</v>
      </c>
      <c r="D41" s="2" t="s">
        <v>198</v>
      </c>
      <c r="E41" s="2" t="s">
        <v>199</v>
      </c>
      <c r="F41" s="2" t="s">
        <v>40</v>
      </c>
      <c r="G41" s="2" t="s">
        <v>26</v>
      </c>
      <c r="H41" s="2" t="s">
        <v>83</v>
      </c>
      <c r="I41" s="2" t="s">
        <v>83</v>
      </c>
      <c r="J41" s="2" t="s">
        <v>80</v>
      </c>
      <c r="K41" s="2" t="s">
        <v>81</v>
      </c>
      <c r="L41" s="2" t="s">
        <v>82</v>
      </c>
      <c r="M41" s="2" t="s">
        <v>56</v>
      </c>
      <c r="N41" s="2" t="s">
        <v>33</v>
      </c>
      <c r="O41" s="8">
        <v>45117</v>
      </c>
      <c r="P41" s="2" t="s">
        <v>34</v>
      </c>
      <c r="Q41" s="2" t="s">
        <v>35</v>
      </c>
      <c r="R41" s="9">
        <v>46279</v>
      </c>
      <c r="S41" s="1" t="str">
        <f>"FY"&amp;YEAR(R41)-IF(MONTH(R41)&lt;4,1,0)&amp;" "&amp;CHOOSE(MATCH(MONTH(R41),{1,4,7,10}),"Q4","Q1","Q2","Q3")</f>
        <v>FY2026 Q2</v>
      </c>
      <c r="T41" s="10" t="s">
        <v>21</v>
      </c>
      <c r="U41" s="14">
        <v>4.16</v>
      </c>
    </row>
    <row r="42" spans="1:21">
      <c r="A42" s="2">
        <v>126904</v>
      </c>
      <c r="B42" s="7" t="s">
        <v>21</v>
      </c>
      <c r="C42" s="2" t="s">
        <v>200</v>
      </c>
      <c r="D42" s="2" t="s">
        <v>201</v>
      </c>
      <c r="E42" s="2" t="s">
        <v>202</v>
      </c>
      <c r="F42" s="2" t="s">
        <v>40</v>
      </c>
      <c r="G42" s="2" t="s">
        <v>26</v>
      </c>
      <c r="H42" s="2" t="s">
        <v>41</v>
      </c>
      <c r="I42" s="2" t="s">
        <v>41</v>
      </c>
      <c r="J42" s="2" t="s">
        <v>42</v>
      </c>
      <c r="K42" s="2" t="s">
        <v>43</v>
      </c>
      <c r="L42" s="2" t="s">
        <v>44</v>
      </c>
      <c r="M42" s="2" t="s">
        <v>32</v>
      </c>
      <c r="N42" s="2" t="s">
        <v>33</v>
      </c>
      <c r="O42" s="8">
        <v>45159</v>
      </c>
      <c r="P42" s="2" t="s">
        <v>34</v>
      </c>
      <c r="Q42" s="2" t="s">
        <v>35</v>
      </c>
      <c r="R42" s="9">
        <v>46251</v>
      </c>
      <c r="S42" s="1" t="str">
        <f>"FY"&amp;YEAR(R42)-IF(MONTH(R42)&lt;4,1,0)&amp;" "&amp;CHOOSE(MATCH(MONTH(R42),{1,4,7,10}),"Q4","Q1","Q2","Q3")</f>
        <v>FY2026 Q2</v>
      </c>
      <c r="T42" s="10" t="s">
        <v>21</v>
      </c>
    </row>
    <row r="43" spans="1:21">
      <c r="A43" s="2">
        <v>127010</v>
      </c>
      <c r="B43" s="3" t="s">
        <v>21</v>
      </c>
      <c r="C43" s="2" t="s">
        <v>203</v>
      </c>
      <c r="D43" s="2" t="s">
        <v>204</v>
      </c>
      <c r="E43" s="2" t="s">
        <v>205</v>
      </c>
      <c r="F43" s="2" t="s">
        <v>108</v>
      </c>
      <c r="G43" s="2" t="s">
        <v>26</v>
      </c>
      <c r="H43" s="2" t="s">
        <v>83</v>
      </c>
      <c r="J43" s="2" t="s">
        <v>80</v>
      </c>
      <c r="K43" s="2" t="s">
        <v>110</v>
      </c>
      <c r="L43" s="2" t="s">
        <v>111</v>
      </c>
      <c r="M43" s="2" t="s">
        <v>112</v>
      </c>
      <c r="N43" s="2" t="s">
        <v>113</v>
      </c>
      <c r="O43" s="8">
        <v>45187</v>
      </c>
      <c r="P43" s="2" t="s">
        <v>34</v>
      </c>
      <c r="Q43" s="2" t="s">
        <v>35</v>
      </c>
      <c r="R43" s="9">
        <v>46276</v>
      </c>
      <c r="S43" s="1" t="str">
        <f>"FY"&amp;YEAR(R43)-IF(MONTH(R43)&lt;4,1,0)&amp;" "&amp;CHOOSE(MATCH(MONTH(R43),{1,4,7,10}),"Q4","Q1","Q2","Q3")</f>
        <v>FY2026 Q2</v>
      </c>
      <c r="T43" s="10" t="s">
        <v>21</v>
      </c>
      <c r="U43" s="4" t="s">
        <v>57</v>
      </c>
    </row>
    <row r="44" spans="1:21">
      <c r="A44" s="2">
        <v>127116</v>
      </c>
      <c r="B44" s="7" t="s">
        <v>21</v>
      </c>
      <c r="C44" s="2" t="s">
        <v>92</v>
      </c>
      <c r="D44" s="2" t="s">
        <v>93</v>
      </c>
      <c r="E44" s="2" t="s">
        <v>94</v>
      </c>
      <c r="F44" s="2" t="s">
        <v>32</v>
      </c>
      <c r="G44" s="2" t="s">
        <v>26</v>
      </c>
      <c r="H44" s="2" t="s">
        <v>91</v>
      </c>
      <c r="I44" s="2" t="s">
        <v>91</v>
      </c>
      <c r="J44" s="2" t="s">
        <v>206</v>
      </c>
      <c r="K44" s="2" t="s">
        <v>30</v>
      </c>
      <c r="L44" s="2" t="s">
        <v>207</v>
      </c>
      <c r="M44" s="2" t="s">
        <v>56</v>
      </c>
      <c r="N44" s="2" t="s">
        <v>33</v>
      </c>
      <c r="O44" s="8">
        <v>45231</v>
      </c>
      <c r="P44" s="2" t="s">
        <v>34</v>
      </c>
      <c r="Q44" s="2" t="s">
        <v>35</v>
      </c>
      <c r="R44" s="9">
        <v>46218</v>
      </c>
      <c r="S44" s="1" t="str">
        <f>"FY"&amp;YEAR(R44)-IF(MONTH(R44)&lt;4,1,0)&amp;" "&amp;CHOOSE(MATCH(MONTH(R44),{1,4,7,10}),"Q4","Q1","Q2","Q3")</f>
        <v>FY2026 Q2</v>
      </c>
      <c r="T44" s="10" t="s">
        <v>21</v>
      </c>
      <c r="U44" s="4" t="s">
        <v>57</v>
      </c>
    </row>
    <row r="45" spans="1:21">
      <c r="A45" s="2">
        <v>127160</v>
      </c>
      <c r="B45" s="3" t="s">
        <v>21</v>
      </c>
      <c r="C45" s="2" t="s">
        <v>188</v>
      </c>
      <c r="D45" s="2" t="s">
        <v>208</v>
      </c>
      <c r="E45" s="2" t="s">
        <v>209</v>
      </c>
      <c r="F45" s="2" t="s">
        <v>108</v>
      </c>
      <c r="G45" s="2" t="s">
        <v>26</v>
      </c>
      <c r="H45" s="2" t="s">
        <v>52</v>
      </c>
      <c r="J45" s="2" t="s">
        <v>80</v>
      </c>
      <c r="K45" s="2" t="s">
        <v>110</v>
      </c>
      <c r="L45" s="2" t="s">
        <v>111</v>
      </c>
      <c r="M45" s="2" t="s">
        <v>112</v>
      </c>
      <c r="N45" s="2" t="s">
        <v>113</v>
      </c>
      <c r="O45" s="8">
        <v>45243</v>
      </c>
      <c r="P45" s="2" t="s">
        <v>34</v>
      </c>
      <c r="Q45" s="2" t="s">
        <v>35</v>
      </c>
      <c r="R45" s="9">
        <v>46276</v>
      </c>
      <c r="S45" s="1" t="str">
        <f>"FY"&amp;YEAR(R45)-IF(MONTH(R45)&lt;4,1,0)&amp;" "&amp;CHOOSE(MATCH(MONTH(R45),{1,4,7,10}),"Q4","Q1","Q2","Q3")</f>
        <v>FY2026 Q2</v>
      </c>
      <c r="T45" s="10" t="s">
        <v>21</v>
      </c>
      <c r="U45" s="4" t="s">
        <v>57</v>
      </c>
    </row>
    <row r="46" spans="1:21">
      <c r="A46" s="2">
        <v>127239</v>
      </c>
      <c r="B46" s="3" t="s">
        <v>21</v>
      </c>
      <c r="C46" s="2" t="s">
        <v>210</v>
      </c>
      <c r="D46" s="2" t="s">
        <v>211</v>
      </c>
      <c r="E46" s="2" t="s">
        <v>212</v>
      </c>
      <c r="F46" s="2" t="s">
        <v>130</v>
      </c>
      <c r="G46" s="2" t="s">
        <v>26</v>
      </c>
      <c r="H46" s="2" t="s">
        <v>91</v>
      </c>
      <c r="I46" s="2" t="s">
        <v>91</v>
      </c>
      <c r="J46" s="2" t="s">
        <v>92</v>
      </c>
      <c r="K46" s="2" t="s">
        <v>93</v>
      </c>
      <c r="L46" s="2" t="s">
        <v>94</v>
      </c>
      <c r="M46" s="2" t="s">
        <v>32</v>
      </c>
      <c r="N46" s="2" t="s">
        <v>33</v>
      </c>
      <c r="O46" s="8">
        <v>45278</v>
      </c>
      <c r="P46" s="2" t="s">
        <v>34</v>
      </c>
      <c r="Q46" s="2" t="s">
        <v>35</v>
      </c>
      <c r="R46" s="9">
        <v>46269</v>
      </c>
      <c r="S46" s="1" t="str">
        <f>"FY"&amp;YEAR(R46)-IF(MONTH(R46)&lt;4,1,0)&amp;" "&amp;CHOOSE(MATCH(MONTH(R46),{1,4,7,10}),"Q4","Q1","Q2","Q3")</f>
        <v>FY2026 Q2</v>
      </c>
      <c r="T46" s="10" t="s">
        <v>21</v>
      </c>
      <c r="U46" s="14">
        <v>3.55</v>
      </c>
    </row>
    <row r="47" spans="1:21">
      <c r="A47" s="2">
        <v>127473</v>
      </c>
      <c r="B47" s="3" t="s">
        <v>21</v>
      </c>
      <c r="C47" s="2" t="s">
        <v>213</v>
      </c>
      <c r="D47" s="2" t="s">
        <v>214</v>
      </c>
      <c r="E47" s="2" t="s">
        <v>215</v>
      </c>
      <c r="F47" s="2" t="s">
        <v>182</v>
      </c>
      <c r="G47" s="2" t="s">
        <v>26</v>
      </c>
      <c r="H47" s="2" t="s">
        <v>120</v>
      </c>
      <c r="I47" s="2" t="s">
        <v>120</v>
      </c>
      <c r="J47" s="2" t="s">
        <v>45</v>
      </c>
      <c r="K47" s="2" t="s">
        <v>183</v>
      </c>
      <c r="L47" s="2" t="s">
        <v>184</v>
      </c>
      <c r="M47" s="2" t="s">
        <v>87</v>
      </c>
      <c r="N47" s="2" t="s">
        <v>33</v>
      </c>
      <c r="O47" s="8">
        <v>45393</v>
      </c>
      <c r="P47" s="2" t="s">
        <v>34</v>
      </c>
      <c r="Q47" s="2" t="s">
        <v>35</v>
      </c>
      <c r="R47" s="9">
        <v>46269</v>
      </c>
      <c r="S47" s="1" t="str">
        <f>"FY"&amp;YEAR(R47)-IF(MONTH(R47)&lt;4,1,0)&amp;" "&amp;CHOOSE(MATCH(MONTH(R47),{1,4,7,10}),"Q4","Q1","Q2","Q3")</f>
        <v>FY2026 Q2</v>
      </c>
      <c r="T47" s="10" t="s">
        <v>21</v>
      </c>
      <c r="U47" s="14">
        <v>3.63</v>
      </c>
    </row>
    <row r="48" spans="1:21">
      <c r="A48" s="2">
        <v>127826</v>
      </c>
      <c r="B48" s="7" t="s">
        <v>21</v>
      </c>
      <c r="C48" s="2" t="s">
        <v>216</v>
      </c>
      <c r="D48" s="2" t="s">
        <v>217</v>
      </c>
      <c r="E48" s="2" t="s">
        <v>218</v>
      </c>
      <c r="F48" s="2" t="s">
        <v>130</v>
      </c>
      <c r="G48" s="2" t="s">
        <v>26</v>
      </c>
      <c r="H48" s="2" t="s">
        <v>120</v>
      </c>
      <c r="I48" s="2" t="s">
        <v>120</v>
      </c>
      <c r="J48" s="2" t="s">
        <v>165</v>
      </c>
      <c r="K48" s="2" t="s">
        <v>166</v>
      </c>
      <c r="L48" s="2" t="s">
        <v>167</v>
      </c>
      <c r="M48" s="2" t="s">
        <v>32</v>
      </c>
      <c r="N48" s="2" t="s">
        <v>33</v>
      </c>
      <c r="O48" s="8">
        <v>45481</v>
      </c>
      <c r="P48" s="2" t="s">
        <v>34</v>
      </c>
      <c r="Q48" s="2" t="s">
        <v>35</v>
      </c>
      <c r="R48" s="9">
        <v>46269</v>
      </c>
      <c r="S48" s="1" t="str">
        <f>"FY"&amp;YEAR(R48)-IF(MONTH(R48)&lt;4,1,0)&amp;" "&amp;CHOOSE(MATCH(MONTH(R48),{1,4,7,10}),"Q4","Q1","Q2","Q3")</f>
        <v>FY2026 Q2</v>
      </c>
      <c r="T48" s="10" t="s">
        <v>21</v>
      </c>
      <c r="U48" s="14">
        <v>4.5199999999999996</v>
      </c>
    </row>
    <row r="49" spans="1:30">
      <c r="A49" s="2">
        <v>127835</v>
      </c>
      <c r="B49" s="3" t="s">
        <v>21</v>
      </c>
      <c r="C49" s="2" t="s">
        <v>219</v>
      </c>
      <c r="D49" s="2" t="s">
        <v>220</v>
      </c>
      <c r="E49" s="2" t="s">
        <v>221</v>
      </c>
      <c r="F49" s="2" t="s">
        <v>182</v>
      </c>
      <c r="G49" s="2" t="s">
        <v>26</v>
      </c>
      <c r="H49" s="2" t="s">
        <v>52</v>
      </c>
      <c r="I49" s="2" t="s">
        <v>52</v>
      </c>
      <c r="J49" s="2" t="s">
        <v>114</v>
      </c>
      <c r="K49" s="2" t="s">
        <v>115</v>
      </c>
      <c r="L49" s="2" t="s">
        <v>116</v>
      </c>
      <c r="M49" s="2" t="s">
        <v>51</v>
      </c>
      <c r="N49" s="2" t="s">
        <v>33</v>
      </c>
      <c r="O49" s="8">
        <v>45488</v>
      </c>
      <c r="P49" s="2" t="s">
        <v>34</v>
      </c>
      <c r="Q49" s="2" t="s">
        <v>35</v>
      </c>
      <c r="R49" s="9">
        <v>46283</v>
      </c>
      <c r="S49" s="1" t="str">
        <f>"FY"&amp;YEAR(R49)-IF(MONTH(R49)&lt;4,1,0)&amp;" "&amp;CHOOSE(MATCH(MONTH(R49),{1,4,7,10}),"Q4","Q1","Q2","Q3")</f>
        <v>FY2026 Q2</v>
      </c>
      <c r="T49" s="10" t="s">
        <v>21</v>
      </c>
      <c r="U49" s="14">
        <v>4.28</v>
      </c>
    </row>
    <row r="50" spans="1:30">
      <c r="A50" s="2">
        <v>127857</v>
      </c>
      <c r="B50" s="2" t="s">
        <v>21</v>
      </c>
      <c r="C50" s="2" t="s">
        <v>222</v>
      </c>
      <c r="D50" s="2" t="s">
        <v>223</v>
      </c>
      <c r="E50" s="2" t="s">
        <v>224</v>
      </c>
      <c r="F50" s="2" t="s">
        <v>51</v>
      </c>
      <c r="G50" s="2" t="s">
        <v>26</v>
      </c>
      <c r="H50" s="2" t="s">
        <v>52</v>
      </c>
      <c r="I50" s="2" t="s">
        <v>52</v>
      </c>
      <c r="J50" s="2" t="s">
        <v>127</v>
      </c>
      <c r="K50" s="2" t="s">
        <v>147</v>
      </c>
      <c r="L50" s="2" t="s">
        <v>148</v>
      </c>
      <c r="M50" s="2" t="s">
        <v>87</v>
      </c>
      <c r="N50" s="2" t="s">
        <v>33</v>
      </c>
      <c r="O50" s="8">
        <v>45495</v>
      </c>
      <c r="P50" s="2" t="s">
        <v>34</v>
      </c>
      <c r="Q50" s="2" t="s">
        <v>35</v>
      </c>
      <c r="R50" s="9">
        <v>46281</v>
      </c>
      <c r="S50" s="1" t="str">
        <f>"FY"&amp;YEAR(R50)-IF(MONTH(R50)&lt;4,1,0)&amp;" "&amp;CHOOSE(MATCH(MONTH(R50),{1,4,7,10}),"Q4","Q1","Q2","Q3")</f>
        <v>FY2026 Q2</v>
      </c>
      <c r="T50" s="10" t="s">
        <v>21</v>
      </c>
      <c r="U50" s="4" t="s">
        <v>57</v>
      </c>
    </row>
    <row r="51" spans="1:30">
      <c r="A51" s="2">
        <v>128013</v>
      </c>
      <c r="B51" s="7" t="s">
        <v>21</v>
      </c>
      <c r="C51" s="2" t="s">
        <v>225</v>
      </c>
      <c r="D51" s="2" t="s">
        <v>226</v>
      </c>
      <c r="E51" s="2" t="s">
        <v>227</v>
      </c>
      <c r="F51" s="2" t="s">
        <v>182</v>
      </c>
      <c r="G51" s="2" t="s">
        <v>26</v>
      </c>
      <c r="H51" s="2" t="s">
        <v>120</v>
      </c>
      <c r="I51" s="2" t="s">
        <v>120</v>
      </c>
      <c r="J51" s="2" t="s">
        <v>165</v>
      </c>
      <c r="K51" s="2" t="s">
        <v>166</v>
      </c>
      <c r="L51" s="2" t="s">
        <v>167</v>
      </c>
      <c r="M51" s="2" t="s">
        <v>32</v>
      </c>
      <c r="N51" s="2" t="s">
        <v>33</v>
      </c>
      <c r="O51" s="8">
        <v>45544</v>
      </c>
      <c r="P51" s="2" t="s">
        <v>34</v>
      </c>
      <c r="Q51" s="2" t="s">
        <v>35</v>
      </c>
      <c r="R51" s="9">
        <v>46262</v>
      </c>
      <c r="S51" s="1" t="str">
        <f>"FY"&amp;YEAR(R51)-IF(MONTH(R51)&lt;4,1,0)&amp;" "&amp;CHOOSE(MATCH(MONTH(R51),{1,4,7,10}),"Q4","Q1","Q2","Q3")</f>
        <v>FY2026 Q2</v>
      </c>
      <c r="T51" s="10" t="s">
        <v>21</v>
      </c>
      <c r="U51" s="14">
        <v>3.9</v>
      </c>
    </row>
    <row r="52" spans="1:30">
      <c r="A52" s="2">
        <v>128291</v>
      </c>
      <c r="B52" s="7" t="s">
        <v>21</v>
      </c>
      <c r="C52" s="2" t="s">
        <v>228</v>
      </c>
      <c r="D52" s="2" t="s">
        <v>229</v>
      </c>
      <c r="E52" s="2" t="s">
        <v>230</v>
      </c>
      <c r="F52" s="2" t="s">
        <v>182</v>
      </c>
      <c r="G52" s="2" t="s">
        <v>26</v>
      </c>
      <c r="H52" s="2" t="s">
        <v>83</v>
      </c>
      <c r="I52" s="2" t="s">
        <v>83</v>
      </c>
      <c r="J52" s="2" t="s">
        <v>171</v>
      </c>
      <c r="K52" s="2" t="s">
        <v>172</v>
      </c>
      <c r="L52" s="2" t="s">
        <v>173</v>
      </c>
      <c r="M52" s="2" t="s">
        <v>51</v>
      </c>
      <c r="N52" s="2" t="s">
        <v>33</v>
      </c>
      <c r="O52" s="8">
        <v>45628</v>
      </c>
      <c r="P52" s="2" t="s">
        <v>34</v>
      </c>
      <c r="Q52" s="2" t="s">
        <v>35</v>
      </c>
      <c r="R52" s="9">
        <v>46276</v>
      </c>
      <c r="S52" s="1" t="str">
        <f>"FY"&amp;YEAR(R52)-IF(MONTH(R52)&lt;4,1,0)&amp;" "&amp;CHOOSE(MATCH(MONTH(R52),{1,4,7,10}),"Q4","Q1","Q2","Q3")</f>
        <v>FY2026 Q2</v>
      </c>
      <c r="T52" s="10" t="s">
        <v>21</v>
      </c>
      <c r="U52" s="14">
        <v>3.63</v>
      </c>
    </row>
    <row r="53" spans="1:30">
      <c r="A53" s="2">
        <v>128321</v>
      </c>
      <c r="B53" s="7" t="s">
        <v>21</v>
      </c>
      <c r="C53" s="2" t="s">
        <v>231</v>
      </c>
      <c r="D53" s="2" t="s">
        <v>232</v>
      </c>
      <c r="E53" s="2" t="s">
        <v>233</v>
      </c>
      <c r="F53" s="2" t="s">
        <v>234</v>
      </c>
      <c r="G53" s="2" t="s">
        <v>26</v>
      </c>
      <c r="H53" s="2" t="s">
        <v>120</v>
      </c>
      <c r="I53" s="2" t="s">
        <v>120</v>
      </c>
      <c r="J53" s="2" t="s">
        <v>165</v>
      </c>
      <c r="K53" s="2" t="s">
        <v>166</v>
      </c>
      <c r="L53" s="2" t="s">
        <v>167</v>
      </c>
      <c r="M53" s="2" t="s">
        <v>32</v>
      </c>
      <c r="N53" s="2" t="s">
        <v>33</v>
      </c>
      <c r="O53" s="8">
        <v>45664</v>
      </c>
      <c r="P53" s="2" t="s">
        <v>34</v>
      </c>
      <c r="Q53" s="2" t="s">
        <v>35</v>
      </c>
      <c r="R53" s="9">
        <v>46273</v>
      </c>
      <c r="S53" s="1" t="str">
        <f>"FY"&amp;YEAR(R53)-IF(MONTH(R53)&lt;4,1,0)&amp;" "&amp;CHOOSE(MATCH(MONTH(R53),{1,4,7,10}),"Q4","Q1","Q2","Q3")</f>
        <v>FY2026 Q2</v>
      </c>
      <c r="T53" s="10" t="s">
        <v>21</v>
      </c>
      <c r="U53" s="14">
        <v>4.3600000000000003</v>
      </c>
    </row>
    <row r="54" spans="1:30">
      <c r="A54" s="2">
        <v>128348</v>
      </c>
      <c r="B54" s="3" t="s">
        <v>21</v>
      </c>
      <c r="C54" s="2" t="s">
        <v>68</v>
      </c>
      <c r="D54" s="2" t="s">
        <v>235</v>
      </c>
      <c r="E54" s="2" t="s">
        <v>236</v>
      </c>
      <c r="F54" s="2" t="s">
        <v>40</v>
      </c>
      <c r="G54" s="2" t="s">
        <v>26</v>
      </c>
      <c r="H54" s="2" t="s">
        <v>52</v>
      </c>
      <c r="I54" s="2" t="s">
        <v>52</v>
      </c>
      <c r="J54" s="2" t="s">
        <v>114</v>
      </c>
      <c r="K54" s="2" t="s">
        <v>115</v>
      </c>
      <c r="L54" s="2" t="s">
        <v>116</v>
      </c>
      <c r="M54" s="2" t="s">
        <v>51</v>
      </c>
      <c r="N54" s="2" t="s">
        <v>33</v>
      </c>
      <c r="O54" s="8">
        <v>45642</v>
      </c>
      <c r="P54" s="2" t="s">
        <v>34</v>
      </c>
      <c r="Q54" s="2" t="s">
        <v>35</v>
      </c>
      <c r="R54" s="9">
        <v>46280</v>
      </c>
      <c r="S54" s="1" t="str">
        <f>"FY"&amp;YEAR(R54)-IF(MONTH(R54)&lt;4,1,0)&amp;" "&amp;CHOOSE(MATCH(MONTH(R54),{1,4,7,10}),"Q4","Q1","Q2","Q3")</f>
        <v>FY2026 Q2</v>
      </c>
      <c r="T54" s="10" t="s">
        <v>21</v>
      </c>
      <c r="U54" s="14">
        <v>3.48</v>
      </c>
    </row>
    <row r="55" spans="1:30">
      <c r="A55" s="2">
        <v>128655</v>
      </c>
      <c r="B55" s="3" t="s">
        <v>21</v>
      </c>
      <c r="C55" s="2" t="s">
        <v>237</v>
      </c>
      <c r="D55" s="2" t="s">
        <v>238</v>
      </c>
      <c r="E55" s="2" t="s">
        <v>239</v>
      </c>
      <c r="F55" s="2" t="s">
        <v>146</v>
      </c>
      <c r="G55" s="2" t="s">
        <v>26</v>
      </c>
      <c r="H55" s="2" t="s">
        <v>52</v>
      </c>
      <c r="I55" s="2" t="s">
        <v>52</v>
      </c>
      <c r="J55" s="2" t="s">
        <v>154</v>
      </c>
      <c r="K55" s="2" t="s">
        <v>155</v>
      </c>
      <c r="L55" s="2" t="s">
        <v>156</v>
      </c>
      <c r="M55" s="2" t="s">
        <v>51</v>
      </c>
      <c r="N55" s="2" t="s">
        <v>33</v>
      </c>
      <c r="O55" s="8">
        <v>45761</v>
      </c>
      <c r="P55" s="2" t="s">
        <v>34</v>
      </c>
      <c r="Q55" s="2" t="s">
        <v>35</v>
      </c>
      <c r="R55" s="9">
        <v>46279</v>
      </c>
      <c r="S55" s="1" t="str">
        <f>"FY"&amp;YEAR(R55)-IF(MONTH(R55)&lt;4,1,0)&amp;" "&amp;CHOOSE(MATCH(MONTH(R55),{1,4,7,10}),"Q4","Q1","Q2","Q3")</f>
        <v>FY2026 Q2</v>
      </c>
      <c r="T55" s="12" t="s">
        <v>21</v>
      </c>
      <c r="U55" s="14">
        <v>3.59</v>
      </c>
    </row>
    <row r="56" spans="1:30">
      <c r="A56" s="2">
        <v>128748</v>
      </c>
      <c r="B56" s="3" t="s">
        <v>21</v>
      </c>
      <c r="C56" s="2" t="s">
        <v>240</v>
      </c>
      <c r="D56" s="2" t="s">
        <v>241</v>
      </c>
      <c r="E56" s="2" t="s">
        <v>242</v>
      </c>
      <c r="F56" s="2" t="s">
        <v>243</v>
      </c>
      <c r="G56" s="2" t="s">
        <v>26</v>
      </c>
      <c r="H56" s="2" t="s">
        <v>52</v>
      </c>
      <c r="I56" s="2" t="s">
        <v>52</v>
      </c>
      <c r="J56" s="2" t="s">
        <v>244</v>
      </c>
      <c r="K56" s="2" t="s">
        <v>245</v>
      </c>
      <c r="L56" s="2" t="s">
        <v>246</v>
      </c>
      <c r="M56" s="2" t="s">
        <v>51</v>
      </c>
      <c r="N56" s="2" t="s">
        <v>33</v>
      </c>
      <c r="O56" s="8">
        <v>45811</v>
      </c>
      <c r="P56" s="2" t="s">
        <v>34</v>
      </c>
      <c r="Q56" s="2" t="s">
        <v>35</v>
      </c>
      <c r="R56" s="9">
        <v>46276</v>
      </c>
      <c r="S56" s="1" t="str">
        <f>"FY"&amp;YEAR(R56)-IF(MONTH(R56)&lt;4,1,0)&amp;" "&amp;CHOOSE(MATCH(MONTH(R56),{1,4,7,10}),"Q4","Q1","Q2","Q3")</f>
        <v>FY2026 Q2</v>
      </c>
      <c r="T56" s="10" t="s">
        <v>21</v>
      </c>
      <c r="U56" s="14">
        <v>3.63</v>
      </c>
    </row>
    <row r="57" spans="1:30">
      <c r="A57" s="2">
        <v>128757</v>
      </c>
      <c r="B57" s="7" t="s">
        <v>21</v>
      </c>
      <c r="C57" s="2" t="s">
        <v>137</v>
      </c>
      <c r="D57" s="2" t="s">
        <v>247</v>
      </c>
      <c r="E57" s="2" t="s">
        <v>248</v>
      </c>
      <c r="F57" s="2" t="s">
        <v>40</v>
      </c>
      <c r="G57" s="2" t="s">
        <v>26</v>
      </c>
      <c r="H57" s="2" t="s">
        <v>120</v>
      </c>
      <c r="I57" s="2" t="s">
        <v>120</v>
      </c>
      <c r="J57" s="2" t="s">
        <v>165</v>
      </c>
      <c r="K57" s="2" t="s">
        <v>166</v>
      </c>
      <c r="L57" s="2" t="s">
        <v>167</v>
      </c>
      <c r="M57" s="2" t="s">
        <v>32</v>
      </c>
      <c r="N57" s="2" t="s">
        <v>33</v>
      </c>
      <c r="O57" s="8">
        <v>45796</v>
      </c>
      <c r="P57" s="2" t="s">
        <v>34</v>
      </c>
      <c r="Q57" s="2" t="s">
        <v>35</v>
      </c>
      <c r="R57" s="9">
        <v>46276</v>
      </c>
      <c r="S57" s="1" t="str">
        <f>"FY"&amp;YEAR(R57)-IF(MONTH(R57)&lt;4,1,0)&amp;" "&amp;CHOOSE(MATCH(MONTH(R57),{1,4,7,10}),"Q4","Q1","Q2","Q3")</f>
        <v>FY2026 Q2</v>
      </c>
      <c r="T57" s="10" t="s">
        <v>21</v>
      </c>
      <c r="U57" s="14">
        <v>3.86</v>
      </c>
    </row>
    <row r="58" spans="1:30">
      <c r="A58" s="2">
        <v>128941</v>
      </c>
      <c r="B58" s="3" t="s">
        <v>21</v>
      </c>
      <c r="C58" s="2" t="s">
        <v>249</v>
      </c>
      <c r="D58" s="2" t="s">
        <v>250</v>
      </c>
      <c r="E58" s="2" t="s">
        <v>251</v>
      </c>
      <c r="F58" s="2" t="s">
        <v>252</v>
      </c>
      <c r="G58" s="2" t="s">
        <v>26</v>
      </c>
      <c r="H58" s="2" t="s">
        <v>52</v>
      </c>
      <c r="I58" s="2" t="s">
        <v>52</v>
      </c>
      <c r="J58" s="2" t="s">
        <v>222</v>
      </c>
      <c r="K58" s="2" t="s">
        <v>223</v>
      </c>
      <c r="L58" s="2" t="s">
        <v>224</v>
      </c>
      <c r="M58" s="2" t="s">
        <v>51</v>
      </c>
      <c r="N58" s="2" t="s">
        <v>33</v>
      </c>
      <c r="O58" s="8">
        <v>45902</v>
      </c>
      <c r="P58" s="2" t="s">
        <v>34</v>
      </c>
      <c r="Q58" s="2" t="s">
        <v>35</v>
      </c>
      <c r="R58" s="9">
        <v>46280</v>
      </c>
      <c r="S58" s="1" t="str">
        <f>"FY"&amp;YEAR(R58)-IF(MONTH(R58)&lt;4,1,0)&amp;" "&amp;CHOOSE(MATCH(MONTH(R58),{1,4,7,10}),"Q4","Q1","Q2","Q3")</f>
        <v>FY2026 Q2</v>
      </c>
      <c r="T58" s="10" t="s">
        <v>21</v>
      </c>
      <c r="U58" s="14">
        <v>3.21</v>
      </c>
    </row>
    <row r="59" spans="1:30">
      <c r="A59" s="2">
        <v>128969</v>
      </c>
      <c r="B59" s="7" t="s">
        <v>21</v>
      </c>
      <c r="C59" s="2" t="s">
        <v>253</v>
      </c>
      <c r="D59" s="2" t="s">
        <v>254</v>
      </c>
      <c r="E59" s="2" t="s">
        <v>255</v>
      </c>
      <c r="F59" s="2" t="s">
        <v>40</v>
      </c>
      <c r="G59" s="2" t="s">
        <v>26</v>
      </c>
      <c r="H59" s="2" t="s">
        <v>41</v>
      </c>
      <c r="I59" s="2" t="s">
        <v>41</v>
      </c>
      <c r="J59" s="2" t="s">
        <v>42</v>
      </c>
      <c r="K59" s="2" t="s">
        <v>43</v>
      </c>
      <c r="L59" s="2" t="s">
        <v>44</v>
      </c>
      <c r="M59" s="2" t="s">
        <v>32</v>
      </c>
      <c r="N59" s="2" t="s">
        <v>33</v>
      </c>
      <c r="O59" s="8">
        <v>45922</v>
      </c>
      <c r="P59" s="2" t="s">
        <v>34</v>
      </c>
      <c r="Q59" s="2" t="s">
        <v>35</v>
      </c>
      <c r="R59" s="9">
        <v>46251</v>
      </c>
      <c r="S59" s="1" t="str">
        <f>"FY"&amp;YEAR(R59)-IF(MONTH(R59)&lt;4,1,0)&amp;" "&amp;CHOOSE(MATCH(MONTH(R59),{1,4,7,10}),"Q4","Q1","Q2","Q3")</f>
        <v>FY2026 Q2</v>
      </c>
      <c r="T59" s="10" t="s">
        <v>21</v>
      </c>
    </row>
    <row r="60" spans="1:30">
      <c r="A60" s="2">
        <v>129105</v>
      </c>
      <c r="B60" s="3" t="s">
        <v>21</v>
      </c>
      <c r="C60" s="2" t="s">
        <v>244</v>
      </c>
      <c r="D60" s="2" t="s">
        <v>245</v>
      </c>
      <c r="E60" s="2" t="s">
        <v>246</v>
      </c>
      <c r="F60" s="2" t="s">
        <v>51</v>
      </c>
      <c r="G60" s="2" t="s">
        <v>26</v>
      </c>
      <c r="H60" s="2" t="s">
        <v>52</v>
      </c>
      <c r="I60" s="2" t="s">
        <v>52</v>
      </c>
      <c r="J60" s="2" t="s">
        <v>77</v>
      </c>
      <c r="K60" s="2" t="s">
        <v>78</v>
      </c>
      <c r="L60" s="2" t="s">
        <v>79</v>
      </c>
      <c r="M60" s="2" t="s">
        <v>56</v>
      </c>
      <c r="N60" s="2" t="s">
        <v>33</v>
      </c>
      <c r="O60" s="8">
        <v>45985</v>
      </c>
      <c r="P60" s="2" t="s">
        <v>34</v>
      </c>
      <c r="Q60" s="2" t="s">
        <v>35</v>
      </c>
      <c r="R60" s="9">
        <v>46276</v>
      </c>
      <c r="S60" s="1" t="str">
        <f>"FY"&amp;YEAR(R60)-IF(MONTH(R60)&lt;4,1,0)&amp;" "&amp;CHOOSE(MATCH(MONTH(R60),{1,4,7,10}),"Q4","Q1","Q2","Q3")</f>
        <v>FY2026 Q2</v>
      </c>
      <c r="T60" s="10" t="s">
        <v>21</v>
      </c>
      <c r="U60" s="4" t="s">
        <v>57</v>
      </c>
    </row>
    <row r="61" spans="1:30">
      <c r="A61" s="2">
        <v>129148</v>
      </c>
      <c r="B61" s="7" t="s">
        <v>21</v>
      </c>
      <c r="C61" s="2" t="s">
        <v>256</v>
      </c>
      <c r="D61" s="2" t="s">
        <v>257</v>
      </c>
      <c r="E61" s="2" t="s">
        <v>258</v>
      </c>
      <c r="F61" s="2" t="s">
        <v>40</v>
      </c>
      <c r="G61" s="2" t="s">
        <v>26</v>
      </c>
      <c r="H61" s="2" t="s">
        <v>52</v>
      </c>
      <c r="I61" s="2" t="s">
        <v>52</v>
      </c>
      <c r="J61" s="2" t="s">
        <v>53</v>
      </c>
      <c r="K61" s="2" t="s">
        <v>54</v>
      </c>
      <c r="L61" s="2" t="s">
        <v>55</v>
      </c>
      <c r="M61" s="2" t="s">
        <v>56</v>
      </c>
      <c r="N61" s="2" t="s">
        <v>33</v>
      </c>
      <c r="O61" s="8">
        <v>45999</v>
      </c>
      <c r="P61" s="2" t="s">
        <v>34</v>
      </c>
      <c r="Q61" s="2" t="s">
        <v>35</v>
      </c>
      <c r="R61" s="9">
        <v>46287</v>
      </c>
      <c r="S61" s="1" t="str">
        <f>"FY"&amp;YEAR(R61)-IF(MONTH(R61)&lt;4,1,0)&amp;" "&amp;CHOOSE(MATCH(MONTH(R61),{1,4,7,10}),"Q4","Q1","Q2","Q3")</f>
        <v>FY2026 Q2</v>
      </c>
      <c r="T61" s="10" t="s">
        <v>21</v>
      </c>
      <c r="U61" s="14">
        <v>3.21</v>
      </c>
    </row>
    <row r="62" spans="1:30">
      <c r="A62" s="2">
        <v>129153</v>
      </c>
      <c r="B62" s="3" t="s">
        <v>21</v>
      </c>
      <c r="C62" s="2" t="s">
        <v>259</v>
      </c>
      <c r="D62" s="2" t="s">
        <v>260</v>
      </c>
      <c r="E62" s="2" t="s">
        <v>261</v>
      </c>
      <c r="F62" s="2" t="s">
        <v>182</v>
      </c>
      <c r="G62" s="2" t="s">
        <v>26</v>
      </c>
      <c r="H62" s="2" t="s">
        <v>120</v>
      </c>
      <c r="I62" s="2" t="s">
        <v>120</v>
      </c>
      <c r="J62" s="2" t="s">
        <v>45</v>
      </c>
      <c r="K62" s="2" t="s">
        <v>183</v>
      </c>
      <c r="L62" s="2" t="s">
        <v>184</v>
      </c>
      <c r="M62" s="2" t="s">
        <v>87</v>
      </c>
      <c r="N62" s="2" t="s">
        <v>33</v>
      </c>
      <c r="O62" s="8">
        <v>46006</v>
      </c>
      <c r="P62" s="2" t="s">
        <v>34</v>
      </c>
      <c r="Q62" s="2" t="s">
        <v>35</v>
      </c>
      <c r="R62" s="9">
        <v>46283</v>
      </c>
      <c r="S62" s="1" t="str">
        <f>"FY"&amp;YEAR(R62)-IF(MONTH(R62)&lt;4,1,0)&amp;" "&amp;CHOOSE(MATCH(MONTH(R62),{1,4,7,10}),"Q4","Q1","Q2","Q3")</f>
        <v>FY2026 Q2</v>
      </c>
      <c r="T62" s="10" t="s">
        <v>21</v>
      </c>
      <c r="U62" s="14">
        <v>3.16</v>
      </c>
    </row>
    <row r="63" spans="1:30">
      <c r="A63" s="2">
        <v>129182</v>
      </c>
      <c r="B63" s="3" t="s">
        <v>21</v>
      </c>
      <c r="C63" s="2" t="s">
        <v>262</v>
      </c>
      <c r="D63" s="2" t="s">
        <v>263</v>
      </c>
      <c r="E63" s="2" t="s">
        <v>264</v>
      </c>
      <c r="F63" s="2" t="s">
        <v>182</v>
      </c>
      <c r="G63" s="2" t="s">
        <v>26</v>
      </c>
      <c r="H63" s="2" t="s">
        <v>120</v>
      </c>
      <c r="I63" s="2" t="s">
        <v>120</v>
      </c>
      <c r="J63" s="2" t="s">
        <v>117</v>
      </c>
      <c r="K63" s="2" t="s">
        <v>118</v>
      </c>
      <c r="L63" s="2" t="s">
        <v>119</v>
      </c>
      <c r="M63" s="2" t="s">
        <v>51</v>
      </c>
      <c r="N63" s="2" t="s">
        <v>33</v>
      </c>
      <c r="O63" s="8">
        <v>45999</v>
      </c>
      <c r="P63" s="2" t="s">
        <v>34</v>
      </c>
      <c r="Q63" s="2" t="s">
        <v>35</v>
      </c>
      <c r="R63" s="9">
        <v>46241</v>
      </c>
      <c r="S63" s="1" t="str">
        <f>"FY"&amp;YEAR(R63)-IF(MONTH(R63)&lt;4,1,0)&amp;" "&amp;CHOOSE(MATCH(MONTH(R63),{1,4,7,10}),"Q4","Q1","Q2","Q3")</f>
        <v>FY2026 Q2</v>
      </c>
      <c r="T63" s="10" t="s">
        <v>21</v>
      </c>
      <c r="U63" s="14">
        <v>3.8</v>
      </c>
    </row>
    <row r="64" spans="1:30" customFormat="1">
      <c r="A64" s="2">
        <v>129228</v>
      </c>
      <c r="B64" s="3" t="s">
        <v>21</v>
      </c>
      <c r="C64" s="2" t="s">
        <v>265</v>
      </c>
      <c r="D64" s="2" t="s">
        <v>266</v>
      </c>
      <c r="E64" s="2" t="s">
        <v>267</v>
      </c>
      <c r="F64" s="2" t="s">
        <v>108</v>
      </c>
      <c r="G64" s="2" t="s">
        <v>26</v>
      </c>
      <c r="H64" s="2" t="s">
        <v>83</v>
      </c>
      <c r="I64" s="2"/>
      <c r="J64" s="2" t="s">
        <v>80</v>
      </c>
      <c r="K64" s="2" t="s">
        <v>110</v>
      </c>
      <c r="L64" s="2" t="s">
        <v>111</v>
      </c>
      <c r="M64" s="2" t="s">
        <v>112</v>
      </c>
      <c r="N64" s="2" t="s">
        <v>113</v>
      </c>
      <c r="O64" s="8">
        <v>46042</v>
      </c>
      <c r="P64" s="2" t="s">
        <v>34</v>
      </c>
      <c r="Q64" s="2" t="s">
        <v>35</v>
      </c>
      <c r="R64" s="9">
        <v>46279</v>
      </c>
      <c r="S64" s="1" t="str">
        <f>"FY"&amp;YEAR(R64)-IF(MONTH(R64)&lt;4,1,0)&amp;" "&amp;CHOOSE(MATCH(MONTH(R64),{1,4,7,10}),"Q4","Q1","Q2","Q3")</f>
        <v>FY2026 Q2</v>
      </c>
      <c r="T64" s="10" t="s">
        <v>21</v>
      </c>
      <c r="U64" s="4" t="s">
        <v>57</v>
      </c>
      <c r="X64" t="s">
        <v>268</v>
      </c>
      <c r="AD64" t="s">
        <v>269</v>
      </c>
    </row>
    <row r="65" spans="1:21">
      <c r="A65" s="2">
        <v>129309</v>
      </c>
      <c r="B65" s="7" t="s">
        <v>21</v>
      </c>
      <c r="C65" s="2" t="s">
        <v>270</v>
      </c>
      <c r="D65" s="2" t="s">
        <v>271</v>
      </c>
      <c r="E65" s="2" t="s">
        <v>272</v>
      </c>
      <c r="F65" s="2" t="s">
        <v>25</v>
      </c>
      <c r="G65" s="2" t="s">
        <v>26</v>
      </c>
      <c r="H65" s="2" t="s">
        <v>52</v>
      </c>
      <c r="I65" s="2" t="s">
        <v>52</v>
      </c>
      <c r="J65" s="2" t="s">
        <v>188</v>
      </c>
      <c r="K65" s="2" t="s">
        <v>189</v>
      </c>
      <c r="L65" s="2" t="s">
        <v>190</v>
      </c>
      <c r="M65" s="2" t="s">
        <v>51</v>
      </c>
      <c r="N65" s="2" t="s">
        <v>33</v>
      </c>
      <c r="O65" s="8">
        <v>46113</v>
      </c>
      <c r="P65" s="2" t="s">
        <v>34</v>
      </c>
      <c r="Q65" s="2" t="s">
        <v>35</v>
      </c>
      <c r="R65" s="9">
        <v>46283</v>
      </c>
      <c r="S65" s="1" t="str">
        <f>"FY"&amp;YEAR(R65)-IF(MONTH(R65)&lt;4,1,0)&amp;" "&amp;CHOOSE(MATCH(MONTH(R65),{1,4,7,10}),"Q4","Q1","Q2","Q3")</f>
        <v>FY2026 Q2</v>
      </c>
      <c r="T65" s="10" t="s">
        <v>21</v>
      </c>
      <c r="U65" s="14">
        <v>3.9</v>
      </c>
    </row>
    <row r="66" spans="1:21">
      <c r="A66" s="2">
        <v>129427</v>
      </c>
      <c r="B66" s="3" t="s">
        <v>21</v>
      </c>
      <c r="C66" s="2" t="s">
        <v>42</v>
      </c>
      <c r="D66" s="2" t="s">
        <v>43</v>
      </c>
      <c r="E66" s="2" t="s">
        <v>44</v>
      </c>
      <c r="F66" s="2" t="s">
        <v>32</v>
      </c>
      <c r="G66" s="2" t="s">
        <v>26</v>
      </c>
      <c r="H66" s="2" t="s">
        <v>41</v>
      </c>
      <c r="I66" s="2" t="s">
        <v>41</v>
      </c>
      <c r="J66" s="2" t="s">
        <v>74</v>
      </c>
      <c r="K66" s="2" t="s">
        <v>273</v>
      </c>
      <c r="L66" s="2" t="s">
        <v>274</v>
      </c>
      <c r="M66" s="2" t="s">
        <v>56</v>
      </c>
      <c r="N66" s="2" t="s">
        <v>33</v>
      </c>
      <c r="O66" s="8">
        <v>46146</v>
      </c>
      <c r="P66" s="2" t="s">
        <v>34</v>
      </c>
      <c r="Q66" s="2" t="s">
        <v>35</v>
      </c>
      <c r="R66" s="9">
        <v>46279</v>
      </c>
      <c r="S66" s="1" t="str">
        <f>"FY"&amp;YEAR(R66)-IF(MONTH(R66)&lt;4,1,0)&amp;" "&amp;CHOOSE(MATCH(MONTH(R66),{1,4,7,10}),"Q4","Q1","Q2","Q3")</f>
        <v>FY2026 Q2</v>
      </c>
      <c r="T66" s="10" t="s">
        <v>21</v>
      </c>
      <c r="U66" s="4" t="s">
        <v>57</v>
      </c>
    </row>
    <row r="67" spans="1:21">
      <c r="A67" s="2">
        <v>129570</v>
      </c>
      <c r="B67" s="3" t="s">
        <v>21</v>
      </c>
      <c r="C67" s="2" t="s">
        <v>143</v>
      </c>
      <c r="D67" s="2" t="s">
        <v>275</v>
      </c>
      <c r="E67" s="2" t="s">
        <v>276</v>
      </c>
      <c r="F67" s="2" t="s">
        <v>243</v>
      </c>
      <c r="G67" s="2" t="s">
        <v>26</v>
      </c>
      <c r="H67" s="2" t="s">
        <v>52</v>
      </c>
      <c r="I67" s="2" t="s">
        <v>52</v>
      </c>
      <c r="J67" s="2" t="s">
        <v>58</v>
      </c>
      <c r="K67" s="2" t="s">
        <v>59</v>
      </c>
      <c r="L67" s="2" t="s">
        <v>60</v>
      </c>
      <c r="M67" s="2" t="s">
        <v>51</v>
      </c>
      <c r="N67" s="2" t="s">
        <v>33</v>
      </c>
      <c r="O67" s="8">
        <v>46209</v>
      </c>
      <c r="P67" s="2" t="s">
        <v>34</v>
      </c>
      <c r="Q67" s="2" t="s">
        <v>35</v>
      </c>
      <c r="R67" s="9">
        <v>46268</v>
      </c>
      <c r="S67" s="1" t="str">
        <f>"FY"&amp;YEAR(R67)-IF(MONTH(R67)&lt;4,1,0)&amp;" "&amp;CHOOSE(MATCH(MONTH(R67),{1,4,7,10}),"Q4","Q1","Q2","Q3")</f>
        <v>FY2026 Q2</v>
      </c>
      <c r="T67" s="10" t="s">
        <v>21</v>
      </c>
      <c r="U67" s="14">
        <v>4.2300000000000004</v>
      </c>
    </row>
    <row r="68" spans="1:21">
      <c r="A68" s="2">
        <v>129610</v>
      </c>
      <c r="B68" s="3" t="s">
        <v>21</v>
      </c>
      <c r="C68" s="2" t="s">
        <v>74</v>
      </c>
      <c r="D68" s="2" t="s">
        <v>277</v>
      </c>
      <c r="E68" s="2" t="s">
        <v>278</v>
      </c>
      <c r="F68" s="2" t="s">
        <v>40</v>
      </c>
      <c r="G68" s="2" t="s">
        <v>26</v>
      </c>
      <c r="H68" s="2" t="s">
        <v>41</v>
      </c>
      <c r="I68" s="2" t="s">
        <v>41</v>
      </c>
      <c r="J68" s="2" t="s">
        <v>42</v>
      </c>
      <c r="K68" s="2" t="s">
        <v>43</v>
      </c>
      <c r="L68" s="2" t="s">
        <v>44</v>
      </c>
      <c r="M68" s="2" t="s">
        <v>32</v>
      </c>
      <c r="N68" s="2" t="s">
        <v>33</v>
      </c>
      <c r="O68" s="8">
        <v>46237</v>
      </c>
      <c r="P68" s="2" t="s">
        <v>34</v>
      </c>
      <c r="Q68" s="2" t="s">
        <v>35</v>
      </c>
      <c r="R68" s="9">
        <v>46251</v>
      </c>
      <c r="S68" s="1" t="str">
        <f>"FY"&amp;YEAR(R68)-IF(MONTH(R68)&lt;4,1,0)&amp;" "&amp;CHOOSE(MATCH(MONTH(R68),{1,4,7,10}),"Q4","Q1","Q2","Q3")</f>
        <v>FY2026 Q2</v>
      </c>
      <c r="T68" s="10" t="s">
        <v>21</v>
      </c>
    </row>
    <row r="69" spans="1:21">
      <c r="A69" s="2">
        <v>129619</v>
      </c>
      <c r="B69" s="3" t="s">
        <v>21</v>
      </c>
      <c r="C69" s="2" t="s">
        <v>279</v>
      </c>
      <c r="D69" s="2" t="s">
        <v>280</v>
      </c>
      <c r="E69" s="2" t="s">
        <v>281</v>
      </c>
      <c r="F69" s="2" t="s">
        <v>25</v>
      </c>
      <c r="G69" s="2" t="s">
        <v>26</v>
      </c>
      <c r="H69" s="2" t="s">
        <v>27</v>
      </c>
      <c r="I69" s="2" t="s">
        <v>27</v>
      </c>
      <c r="J69" s="2" t="s">
        <v>29</v>
      </c>
      <c r="K69" s="2" t="s">
        <v>30</v>
      </c>
      <c r="L69" s="2" t="s">
        <v>31</v>
      </c>
      <c r="M69" s="2" t="s">
        <v>32</v>
      </c>
      <c r="N69" s="2" t="s">
        <v>33</v>
      </c>
      <c r="O69" s="8">
        <v>46237</v>
      </c>
      <c r="P69" s="2" t="s">
        <v>34</v>
      </c>
      <c r="Q69" s="2" t="s">
        <v>35</v>
      </c>
      <c r="R69" s="9">
        <v>46259</v>
      </c>
      <c r="S69" s="1" t="str">
        <f>"FY"&amp;YEAR(R69)-IF(MONTH(R69)&lt;4,1,0)&amp;" "&amp;CHOOSE(MATCH(MONTH(R69),{1,4,7,10}),"Q4","Q1","Q2","Q3")</f>
        <v>FY2026 Q2</v>
      </c>
      <c r="T69" s="10" t="s">
        <v>21</v>
      </c>
    </row>
    <row r="70" spans="1:21">
      <c r="A70" s="2">
        <v>129628</v>
      </c>
      <c r="B70" s="3" t="s">
        <v>21</v>
      </c>
      <c r="C70" s="2" t="s">
        <v>282</v>
      </c>
      <c r="D70" s="2" t="s">
        <v>283</v>
      </c>
      <c r="E70" s="2" t="s">
        <v>284</v>
      </c>
      <c r="F70" s="2" t="s">
        <v>40</v>
      </c>
      <c r="G70" s="2" t="s">
        <v>26</v>
      </c>
      <c r="H70" s="2" t="s">
        <v>41</v>
      </c>
      <c r="I70" s="2" t="s">
        <v>41</v>
      </c>
      <c r="J70" s="2" t="s">
        <v>42</v>
      </c>
      <c r="K70" s="2" t="s">
        <v>43</v>
      </c>
      <c r="L70" s="2" t="s">
        <v>44</v>
      </c>
      <c r="M70" s="2" t="s">
        <v>32</v>
      </c>
      <c r="N70" s="2" t="s">
        <v>33</v>
      </c>
      <c r="O70" s="8">
        <v>46237</v>
      </c>
      <c r="P70" s="2" t="s">
        <v>34</v>
      </c>
      <c r="Q70" s="2" t="s">
        <v>35</v>
      </c>
      <c r="R70" s="9">
        <v>46251</v>
      </c>
      <c r="S70" s="1" t="str">
        <f>"FY"&amp;YEAR(R70)-IF(MONTH(R70)&lt;4,1,0)&amp;" "&amp;CHOOSE(MATCH(MONTH(R70),{1,4,7,10}),"Q4","Q1","Q2","Q3")</f>
        <v>FY2026 Q2</v>
      </c>
      <c r="T70" s="10" t="s">
        <v>21</v>
      </c>
    </row>
    <row r="71" spans="1:21">
      <c r="A71" s="2">
        <v>129646</v>
      </c>
      <c r="B71" s="3" t="s">
        <v>21</v>
      </c>
      <c r="C71" s="2" t="s">
        <v>285</v>
      </c>
      <c r="D71" s="2" t="s">
        <v>286</v>
      </c>
      <c r="E71" s="2" t="s">
        <v>287</v>
      </c>
      <c r="F71" s="2" t="s">
        <v>25</v>
      </c>
      <c r="G71" s="2" t="s">
        <v>26</v>
      </c>
      <c r="H71" s="2" t="s">
        <v>91</v>
      </c>
      <c r="I71" s="2" t="s">
        <v>91</v>
      </c>
      <c r="J71" s="2" t="s">
        <v>92</v>
      </c>
      <c r="K71" s="2" t="s">
        <v>93</v>
      </c>
      <c r="L71" s="2" t="s">
        <v>94</v>
      </c>
      <c r="M71" s="2" t="s">
        <v>32</v>
      </c>
      <c r="N71" s="2" t="s">
        <v>33</v>
      </c>
      <c r="O71" s="8">
        <v>46251</v>
      </c>
      <c r="P71" s="2" t="s">
        <v>34</v>
      </c>
      <c r="Q71" s="2" t="s">
        <v>35</v>
      </c>
      <c r="R71" s="9">
        <v>46262</v>
      </c>
      <c r="S71" s="1" t="str">
        <f>"FY"&amp;YEAR(R71)-IF(MONTH(R71)&lt;4,1,0)&amp;" "&amp;CHOOSE(MATCH(MONTH(R71),{1,4,7,10}),"Q4","Q1","Q2","Q3")</f>
        <v>FY2026 Q2</v>
      </c>
      <c r="T71" s="10" t="s">
        <v>21</v>
      </c>
      <c r="U71" s="14">
        <v>3.16</v>
      </c>
    </row>
    <row r="72" spans="1:21">
      <c r="A72" s="2">
        <v>129684</v>
      </c>
      <c r="B72" s="3" t="s">
        <v>21</v>
      </c>
      <c r="C72" s="2" t="s">
        <v>288</v>
      </c>
      <c r="D72" s="2" t="s">
        <v>161</v>
      </c>
      <c r="E72" s="2" t="s">
        <v>289</v>
      </c>
      <c r="F72" s="2" t="s">
        <v>40</v>
      </c>
      <c r="G72" s="2" t="s">
        <v>26</v>
      </c>
      <c r="H72" s="2" t="s">
        <v>27</v>
      </c>
      <c r="I72" s="2" t="s">
        <v>27</v>
      </c>
      <c r="J72" s="2" t="s">
        <v>29</v>
      </c>
      <c r="K72" s="2" t="s">
        <v>30</v>
      </c>
      <c r="L72" s="2" t="s">
        <v>31</v>
      </c>
      <c r="M72" s="2" t="s">
        <v>32</v>
      </c>
      <c r="N72" s="2" t="s">
        <v>33</v>
      </c>
      <c r="O72" s="8">
        <v>46273</v>
      </c>
      <c r="P72" s="2" t="s">
        <v>34</v>
      </c>
      <c r="Q72" s="2" t="s">
        <v>35</v>
      </c>
      <c r="R72" s="9">
        <v>46301</v>
      </c>
      <c r="S72" s="1" t="str">
        <f>"FY"&amp;YEAR(R72)-IF(MONTH(R72)&lt;4,1,0)&amp;" "&amp;CHOOSE(MATCH(MONTH(R72),{1,4,7,10}),"Q4","Q1","Q2","Q3")</f>
        <v>FY2026 Q3</v>
      </c>
      <c r="T72" s="10" t="s">
        <v>21</v>
      </c>
      <c r="U72" s="4">
        <v>4.1500000000000004</v>
      </c>
    </row>
    <row r="73" spans="1:21">
      <c r="A73" s="2">
        <v>129704</v>
      </c>
      <c r="B73" s="3" t="s">
        <v>21</v>
      </c>
      <c r="C73" s="2" t="s">
        <v>213</v>
      </c>
      <c r="D73" s="2" t="s">
        <v>290</v>
      </c>
      <c r="E73" s="2" t="s">
        <v>291</v>
      </c>
      <c r="F73" s="2" t="s">
        <v>40</v>
      </c>
      <c r="G73" s="2" t="s">
        <v>26</v>
      </c>
      <c r="H73" s="2" t="s">
        <v>41</v>
      </c>
      <c r="I73" s="2" t="s">
        <v>41</v>
      </c>
      <c r="J73" s="2" t="s">
        <v>42</v>
      </c>
      <c r="K73" s="2" t="s">
        <v>43</v>
      </c>
      <c r="L73" s="2" t="s">
        <v>44</v>
      </c>
      <c r="M73" s="2" t="s">
        <v>32</v>
      </c>
      <c r="N73" s="2" t="s">
        <v>33</v>
      </c>
      <c r="O73" s="8">
        <v>46281</v>
      </c>
      <c r="P73" s="2" t="s">
        <v>34</v>
      </c>
      <c r="Q73" s="4" t="s">
        <v>35</v>
      </c>
      <c r="R73" s="9">
        <v>46294</v>
      </c>
      <c r="S73" s="1" t="str">
        <f>"FY"&amp;YEAR(R73)-IF(MONTH(R73)&lt;4,1,0)&amp;" "&amp;CHOOSE(MATCH(MONTH(R73),{1,4,7,10}),"Q4","Q1","Q2","Q3")</f>
        <v>FY2026 Q2</v>
      </c>
      <c r="T73" s="16" t="s">
        <v>21</v>
      </c>
      <c r="U73" s="4">
        <v>3.73</v>
      </c>
    </row>
  </sheetData>
  <phoneticPr fontId="18" type="noConversion"/>
  <conditionalFormatting sqref="A2:A73">
    <cfRule type="duplicateValues" dxfId="23" priority="5"/>
  </conditionalFormatting>
  <dataValidations count="1">
    <dataValidation type="list" allowBlank="1" showInputMessage="1" showErrorMessage="1" sqref="T2:T73" xr:uid="{E63DC26B-4206-4545-9975-AD9FA3CD98B2}">
      <formula1>"Yes,No"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2026-06-17T00:23:21Z</dcterms:created>
  <dcterms:modified xsi:type="dcterms:W3CDTF">2026-10-20T17:40:37Z</dcterms:modified>
  <cp:category/>
  <cp:contentStatus/>
</cp:coreProperties>
</file>