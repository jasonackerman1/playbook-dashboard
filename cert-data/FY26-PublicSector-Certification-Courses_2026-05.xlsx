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B8BD4EE3-A088-4DC1-BF2A-9F16128637E5}" xr6:coauthVersionLast="47" xr6:coauthVersionMax="47" xr10:uidLastSave="{00000000-0000-0000-0000-000000000000}"/>
  <bookViews>
    <workbookView xWindow="-28920" yWindow="-11790" windowWidth="29040" windowHeight="15720" xr2:uid="{F4776C74-15C0-4818-84D8-3278D8473466}"/>
  </bookViews>
  <sheets>
    <sheet name="Public Sector Certifica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2" l="1"/>
  <c r="W31" i="2"/>
  <c r="W32" i="2"/>
  <c r="W33" i="2"/>
  <c r="W34" i="2"/>
  <c r="W29" i="2"/>
</calcChain>
</file>

<file path=xl/sharedStrings.xml><?xml version="1.0" encoding="utf-8"?>
<sst xmlns="http://schemas.openxmlformats.org/spreadsheetml/2006/main" count="617" uniqueCount="216">
  <si>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</si>
  <si>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</si>
  <si>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</si>
  <si>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</si>
  <si>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</si>
  <si>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</si>
  <si>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</si>
  <si>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</si>
  <si>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</si>
  <si>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</si>
  <si>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</si>
  <si>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</si>
  <si>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</si>
  <si>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</si>
  <si>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</si>
  <si>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</si>
  <si>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</si>
  <si>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</si>
  <si>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</si>
  <si>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Public Sector Curriculum Status</t>
  </si>
  <si>
    <t>Curriculum Assignment Date</t>
  </si>
  <si>
    <t>Certification Date</t>
  </si>
  <si>
    <t>Qr Certified</t>
  </si>
  <si>
    <t>Yes</t>
  </si>
  <si>
    <t>Andrew</t>
  </si>
  <si>
    <t>Davidson</t>
  </si>
  <si>
    <t>ADavidson@kmbs.konicaminolta.us</t>
  </si>
  <si>
    <t>GPO Business Development Director</t>
  </si>
  <si>
    <t>East</t>
  </si>
  <si>
    <t>New England</t>
  </si>
  <si>
    <t>Boston Metro</t>
  </si>
  <si>
    <t>Emil</t>
  </si>
  <si>
    <t>Enstrom</t>
  </si>
  <si>
    <t>Enstrom@kmbs.konicaminolta.us</t>
  </si>
  <si>
    <t>SVP, Global Enterprise &amp; Govt Accounts</t>
  </si>
  <si>
    <t>CP</t>
  </si>
  <si>
    <t>EMP_BUS</t>
  </si>
  <si>
    <t>PSCERT</t>
  </si>
  <si>
    <t>Public Sector Certification</t>
  </si>
  <si>
    <t>No</t>
  </si>
  <si>
    <t>Angela</t>
  </si>
  <si>
    <t>McGee</t>
  </si>
  <si>
    <t>AMcGee@kmbs.konicaminolta.us</t>
  </si>
  <si>
    <t>Senior Account Executive - GS</t>
  </si>
  <si>
    <t>FY2026 Direct Sales</t>
  </si>
  <si>
    <t>West Sls</t>
  </si>
  <si>
    <t>Jeremy</t>
  </si>
  <si>
    <t>Brigham</t>
  </si>
  <si>
    <t>JBrigham@kmbs.konicaminolta.us</t>
  </si>
  <si>
    <t>Sr. Sales Manager</t>
  </si>
  <si>
    <t>SF</t>
  </si>
  <si>
    <t>Annie</t>
  </si>
  <si>
    <t>Lee</t>
  </si>
  <si>
    <t>ALee@kmbs.konicaminolta.us</t>
  </si>
  <si>
    <t>Senior Account Executive - GES</t>
  </si>
  <si>
    <t>Central Sls</t>
  </si>
  <si>
    <t>David</t>
  </si>
  <si>
    <t>Goetz</t>
  </si>
  <si>
    <t>DGoetz@kmbs.konicaminolta.us</t>
  </si>
  <si>
    <t>Major Acct Sales Manager</t>
  </si>
  <si>
    <t>Barbara</t>
  </si>
  <si>
    <t>Wallin</t>
  </si>
  <si>
    <t>BWallin@kmbs.konicaminolta.us</t>
  </si>
  <si>
    <t>Heartland Sls</t>
  </si>
  <si>
    <t>Travis</t>
  </si>
  <si>
    <t>Davis</t>
  </si>
  <si>
    <t>Travis.Davis@KMBS.konicaminolta.us</t>
  </si>
  <si>
    <t>Barry</t>
  </si>
  <si>
    <t>Hadsell</t>
  </si>
  <si>
    <t>BHadsell@kmbs.konicaminolta.us</t>
  </si>
  <si>
    <t>Major Account Executive - GES</t>
  </si>
  <si>
    <t>Lehang</t>
  </si>
  <si>
    <t>Uong</t>
  </si>
  <si>
    <t>JUong@kmbs.konicaminolta.us</t>
  </si>
  <si>
    <t>Beth</t>
  </si>
  <si>
    <t>Swain</t>
  </si>
  <si>
    <t>BSwain@kmbs.konicaminolta.us</t>
  </si>
  <si>
    <t>Southeast Sls</t>
  </si>
  <si>
    <t>Wesley</t>
  </si>
  <si>
    <t>Hardin</t>
  </si>
  <si>
    <t>WHardin@kmbs.konicaminolta.us</t>
  </si>
  <si>
    <t>Dir, Strategic Sales</t>
  </si>
  <si>
    <t>Braden</t>
  </si>
  <si>
    <t>McCargar</t>
  </si>
  <si>
    <t>bmccargar@kmbs.konicaminolta.us</t>
  </si>
  <si>
    <t>Named Account Executive</t>
  </si>
  <si>
    <t>Kyle</t>
  </si>
  <si>
    <t>Lawrence</t>
  </si>
  <si>
    <t>KLawrence@kmbs.konicaminolta.us</t>
  </si>
  <si>
    <t>Sales Manager</t>
  </si>
  <si>
    <t>Brett</t>
  </si>
  <si>
    <t>Peters</t>
  </si>
  <si>
    <t>BPeters@Kmbs.konicaminolta.us</t>
  </si>
  <si>
    <t>Govt Accounts Manager</t>
  </si>
  <si>
    <t>West</t>
  </si>
  <si>
    <t>Great Lakes</t>
  </si>
  <si>
    <t>Columbus</t>
  </si>
  <si>
    <t>Aaron</t>
  </si>
  <si>
    <t>Ott</t>
  </si>
  <si>
    <t>AOtt@kmbs.konicaminolta.us</t>
  </si>
  <si>
    <t>Regional Dir, Public Sector</t>
  </si>
  <si>
    <t>Brian</t>
  </si>
  <si>
    <t>Anderson</t>
  </si>
  <si>
    <t>AndersonB@kmbs.konicaminolta.us</t>
  </si>
  <si>
    <t>Rosibel</t>
  </si>
  <si>
    <t>Aparicio</t>
  </si>
  <si>
    <t>RAparicio@KMBS.konicaminolta.us</t>
  </si>
  <si>
    <t>Carl</t>
  </si>
  <si>
    <t>carl.lee@kmbs.konicaminolta.us</t>
  </si>
  <si>
    <t>James</t>
  </si>
  <si>
    <t>Hankins</t>
  </si>
  <si>
    <t>JHankins@kmbs.konicaminolta.us</t>
  </si>
  <si>
    <t>Chang</t>
  </si>
  <si>
    <t>Becker</t>
  </si>
  <si>
    <t>RBecker@kmbs.konicaminolta.us</t>
  </si>
  <si>
    <t>Major Account Executive</t>
  </si>
  <si>
    <t>Daniel</t>
  </si>
  <si>
    <t>Zepeda</t>
  </si>
  <si>
    <t>DZepeda@kmbs.konicaminolta.us</t>
  </si>
  <si>
    <t>Harrison</t>
  </si>
  <si>
    <t>Harpole</t>
  </si>
  <si>
    <t>HHarpole@kmbs.konicaminolta.us</t>
  </si>
  <si>
    <t>Area Vice President</t>
  </si>
  <si>
    <t>Gregory</t>
  </si>
  <si>
    <t>Christie</t>
  </si>
  <si>
    <t>GChristie@kmbs.konicaminolta.us</t>
  </si>
  <si>
    <t>Jefferson</t>
  </si>
  <si>
    <t>Reeves</t>
  </si>
  <si>
    <t>JReeves@kmbs.konicaminolta.us</t>
  </si>
  <si>
    <t>Kristina</t>
  </si>
  <si>
    <t>Feldmann</t>
  </si>
  <si>
    <t>KFeldmann@kmbs.konicaminolta.us</t>
  </si>
  <si>
    <t>Area VP Sales - West</t>
  </si>
  <si>
    <t>Jeffrey</t>
  </si>
  <si>
    <t>Moynihan</t>
  </si>
  <si>
    <t>JMoynihan@kmbs.konicaminolta.us</t>
  </si>
  <si>
    <t>Selling Manager</t>
  </si>
  <si>
    <t>Northeast Sls</t>
  </si>
  <si>
    <t>Jason</t>
  </si>
  <si>
    <t>Dexter</t>
  </si>
  <si>
    <t>JDexter@kmbs.konicaminolta.us</t>
  </si>
  <si>
    <t>Area VP Sales - East</t>
  </si>
  <si>
    <t>Jonathan</t>
  </si>
  <si>
    <t>Klumker</t>
  </si>
  <si>
    <t>JKlumker@kmbs.konicaminolta.us</t>
  </si>
  <si>
    <t>Jonal</t>
  </si>
  <si>
    <t>Machos</t>
  </si>
  <si>
    <t>JMachos@KMBS.konicaminolta.us</t>
  </si>
  <si>
    <t>Kasaundra</t>
  </si>
  <si>
    <t>Cross</t>
  </si>
  <si>
    <t>KCross@kmbs.konicaminolta.us</t>
  </si>
  <si>
    <t>Emmanuel</t>
  </si>
  <si>
    <t>Torres</t>
  </si>
  <si>
    <t>ETorres@kmbs.konicaminolta.us</t>
  </si>
  <si>
    <t>Katie</t>
  </si>
  <si>
    <t>Stickell</t>
  </si>
  <si>
    <t>kstickell@kmbs.konicaminolta.us</t>
  </si>
  <si>
    <t>Named Account Executive - GES</t>
  </si>
  <si>
    <t>Kelita</t>
  </si>
  <si>
    <t>Kelita.Lee@kmbs.konicaminolta.us</t>
  </si>
  <si>
    <t>DeRoche</t>
  </si>
  <si>
    <t>LDeRoche@kmbs.konicaminolta.us</t>
  </si>
  <si>
    <t>Lesa</t>
  </si>
  <si>
    <t>Jacobs</t>
  </si>
  <si>
    <t>ljacobs@kmbs.konicaminolta.us</t>
  </si>
  <si>
    <t>Mariana</t>
  </si>
  <si>
    <t>Gross</t>
  </si>
  <si>
    <t>MGross@kmbs.konicaminolta.us</t>
  </si>
  <si>
    <t>Clayton</t>
  </si>
  <si>
    <t>Crane</t>
  </si>
  <si>
    <t>ecrane@kmbs.konicaminolta.us</t>
  </si>
  <si>
    <t>RICHARD</t>
  </si>
  <si>
    <t>ALLEN</t>
  </si>
  <si>
    <t>RAllen@kmbs.konicaminolta.us</t>
  </si>
  <si>
    <t>Scott</t>
  </si>
  <si>
    <t>McCool</t>
  </si>
  <si>
    <t>smccool@kmbs.konicaminolta.us</t>
  </si>
  <si>
    <t>VP, Govt Sales &amp; Mktg</t>
  </si>
  <si>
    <t>Mountain States</t>
  </si>
  <si>
    <t>Denver - Warehouse</t>
  </si>
  <si>
    <t>Stephen</t>
  </si>
  <si>
    <t>Langdon</t>
  </si>
  <si>
    <t>slangdon@kmbs.konicaminolta.us</t>
  </si>
  <si>
    <t>Government Program Manager, SLED</t>
  </si>
  <si>
    <t>Mid-Atlantic</t>
  </si>
  <si>
    <t>Baltimore</t>
  </si>
  <si>
    <t>Susan</t>
  </si>
  <si>
    <t>Bindas</t>
  </si>
  <si>
    <t>SBindas@kmbs.konicaminolta.us</t>
  </si>
  <si>
    <t>Troy</t>
  </si>
  <si>
    <t>Klemm</t>
  </si>
  <si>
    <t>TKlemm@kmbs.konicaminolta.us</t>
  </si>
  <si>
    <t>Janna</t>
  </si>
  <si>
    <t>Meckowski</t>
  </si>
  <si>
    <t>JMeckowski@kmbs.konicaminolta.us</t>
  </si>
  <si>
    <t>Nicholas</t>
  </si>
  <si>
    <t>Mauricio</t>
  </si>
  <si>
    <t>NMauricio@kmbs.konicaminolta.us</t>
  </si>
  <si>
    <t>Peel</t>
  </si>
  <si>
    <t>JPeel@kmbs.konicaminolta.us</t>
  </si>
  <si>
    <t>Senior Account Executive</t>
  </si>
  <si>
    <t>Mary</t>
  </si>
  <si>
    <t>Friends</t>
  </si>
  <si>
    <t>mfriends@kmbs.konicaminolta.us</t>
  </si>
  <si>
    <t>Michael</t>
  </si>
  <si>
    <t>Walbert</t>
  </si>
  <si>
    <t>SWalbert@kmbs.konicaminolta.us</t>
  </si>
  <si>
    <t>Hartford</t>
  </si>
  <si>
    <t>Patricia</t>
  </si>
  <si>
    <t>Kent</t>
  </si>
  <si>
    <t>pkent@kmbs.konicaminolta.us</t>
  </si>
  <si>
    <t>Troupe</t>
  </si>
  <si>
    <t>jtroupe@kmbs.konicaminolta.us</t>
  </si>
  <si>
    <t>Demeduk</t>
  </si>
  <si>
    <t>NDemeduk@kmbs.konicaminolta.us</t>
  </si>
  <si>
    <t>Area VP Sales -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</si>
</sst>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B37B5-A4C2-4D54-A76D-B391D3618F29}" name="Table1" displayName="Table1" ref="A1:W34" totalsRowShown="0">
  <autoFilter ref="A1:W34" xr:uid="{D68B37B5-A4C2-4D54-A76D-B391D3618F29}"/>
  <sortState xmlns:xlrd2="http://schemas.microsoft.com/office/spreadsheetml/2017/richdata2" ref="A2:W34">
    <sortCondition ref="T1:T34"/>
  </sortState>
  <tableColumns count="23">
    <tableColumn id="1" xr3:uid="{E0781E02-DC16-40C6-84CA-6D70904301D5}" name="User"/>
    <tableColumn id="2" xr3:uid="{157A167C-C0CE-4367-B73D-8F0F40EA355A}" name="Active User"/>
    <tableColumn id="3" xr3:uid="{47347099-2475-47B8-BFD2-E1F34834A42D}" name="First Name"/>
    <tableColumn id="4" xr3:uid="{C00D18FC-BFE4-4EF6-863B-AAECB488A99C}" name="Last Name"/>
    <tableColumn id="5" xr3:uid="{A4CB1CF6-4FB7-429D-BE08-AF98A3A0B924}" name="Email Address"/>
    <tableColumn id="6" xr3:uid="{E02D588C-05BE-47E4-BF9F-99357119A036}" name="Job Title"/>
    <tableColumn id="7" xr3:uid="{B70B90A5-3B27-49B0-A517-C30AC8EDBE2C}" name="Region"/>
    <tableColumn id="8" xr3:uid="{F818701B-C966-493C-8E62-21222B89257A}" name="Market"/>
    <tableColumn id="9" xr3:uid="{B6D0A619-AD31-46F9-BD4F-D0569B963A0D}" name="Branch"/>
    <tableColumn id="10" xr3:uid="{062BCBC2-E80C-42C4-9D28-C2F224189495}" name="ManagerFirstName"/>
    <tableColumn id="11" xr3:uid="{B72D55FA-8C2B-4D07-81CB-84D198C3A080}" name="ManagerLastName"/>
    <tableColumn id="12" xr3:uid="{B3CCA42A-A6A9-4AA4-A7B8-8EF0B8D60C75}" name="SUPEMAILADDR"/>
    <tableColumn id="13" xr3:uid="{12DD7B72-B204-47F6-B210-AA30CBEBBFCA}" name="Manager JobTitle"/>
    <tableColumn id="14" xr3:uid="{2A97D8C4-6A97-4769-B261-6BF767958550}" name="Employee Type ID"/>
    <tableColumn id="15" xr3:uid="{B9F16B8B-02D3-4B94-B1B4-15ACA6898D28}" name="Hire Date" dataDxfId="4"/>
    <tableColumn id="16" xr3:uid="{5AEDAC52-B963-4E3B-805E-68CC10838D7D}" name="Domain ID"/>
    <tableColumn id="17" xr3:uid="{6734A020-324B-41DD-A2AC-4A78C5D96120}" name="Parent Curriculum ID"/>
    <tableColumn id="18" xr3:uid="{01C82063-0832-4EE5-8EA9-E77D330DB0E8}" name="Curriculum ID"/>
    <tableColumn id="19" xr3:uid="{ED481055-4560-42CC-BF80-999763B17ABA}" name="Curriculum Title"/>
    <tableColumn id="20" xr3:uid="{03E70A56-AC17-41FF-A840-C2542438D9FD}" name="Public Sector Curriculum Status" dataDxfId="3"/>
    <tableColumn id="21" xr3:uid="{021230A8-EBD1-41EF-B50B-9FB1C48040AD}" name="Curriculum Assignment Date" dataDxfId="2"/>
    <tableColumn id="22" xr3:uid="{B051DC00-CE25-4356-B875-C23523DC44B0}" name="Certification Date" dataDxfId="1"/>
    <tableColumn id="23" xr3:uid="{12E6F952-DB5C-4ABC-B220-A6983B6A8EA4}" name="Qr Certif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4B02-D512-4F04-B087-812D7E0C70A7}">
  <dimension ref="A1:W34"/>
  <sheetViews>
    <sheetView tabSelected="1" workbookViewId="0">
      <selection activeCell="O1" sqref="O1:O1048576"/>
    </sheetView>
  </sheetViews>
  <sheetFormatPr defaultRowHeight="14.45"/>
  <cols>
    <col min="2" max="2" width="12.5703125" customWidth="1"/>
    <col min="3" max="3" width="12.140625" customWidth="1"/>
    <col min="4" max="4" width="11.85546875" customWidth="1"/>
    <col min="5" max="5" width="15" customWidth="1"/>
    <col min="6" max="6" width="10" customWidth="1"/>
    <col min="7" max="7" width="8.85546875" customWidth="1"/>
    <col min="10" max="10" width="19" customWidth="1"/>
    <col min="11" max="11" width="18.7109375" customWidth="1"/>
    <col min="12" max="12" width="16.5703125" customWidth="1"/>
    <col min="13" max="13" width="17.140625" customWidth="1"/>
    <col min="14" max="14" width="18.28515625" customWidth="1"/>
    <col min="15" max="15" width="11.140625" style="1" customWidth="1"/>
    <col min="16" max="16" width="11.85546875" customWidth="1"/>
    <col min="17" max="17" width="20.85546875" customWidth="1"/>
    <col min="18" max="18" width="14.85546875" customWidth="1"/>
    <col min="19" max="19" width="16.85546875" customWidth="1"/>
    <col min="20" max="20" width="30.140625" style="2" customWidth="1"/>
    <col min="21" max="21" width="27.5703125" style="5" customWidth="1"/>
    <col min="22" max="22" width="18.85546875" style="2" bestFit="1" customWidth="1"/>
    <col min="23" max="23" width="13.140625" style="2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s="5" t="s">
        <v>20</v>
      </c>
      <c r="V1" s="2" t="s">
        <v>21</v>
      </c>
      <c r="W1" s="2" t="s">
        <v>22</v>
      </c>
    </row>
    <row r="2" spans="1:23">
      <c r="A2">
        <v>101934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s="1">
        <v>38047</v>
      </c>
      <c r="P2" t="s">
        <v>36</v>
      </c>
      <c r="Q2" t="s">
        <v>37</v>
      </c>
      <c r="R2" t="s">
        <v>37</v>
      </c>
      <c r="S2" t="s">
        <v>38</v>
      </c>
      <c r="T2" s="2" t="s">
        <v>39</v>
      </c>
      <c r="U2" s="5">
        <v>46190</v>
      </c>
      <c r="V2" s="4"/>
      <c r="W2" s="3"/>
    </row>
    <row r="3" spans="1:23">
      <c r="A3">
        <v>129252</v>
      </c>
      <c r="B3" t="s">
        <v>23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s="1">
        <v>46048</v>
      </c>
      <c r="P3" t="s">
        <v>36</v>
      </c>
      <c r="Q3" t="s">
        <v>37</v>
      </c>
      <c r="R3" t="s">
        <v>37</v>
      </c>
      <c r="S3" t="s">
        <v>38</v>
      </c>
      <c r="T3" s="2" t="s">
        <v>39</v>
      </c>
      <c r="U3" s="5">
        <v>46181</v>
      </c>
    </row>
    <row r="4" spans="1:23">
      <c r="A4">
        <v>128988</v>
      </c>
      <c r="B4" t="s">
        <v>23</v>
      </c>
      <c r="C4" t="s">
        <v>51</v>
      </c>
      <c r="D4" t="s">
        <v>52</v>
      </c>
      <c r="E4" t="s">
        <v>53</v>
      </c>
      <c r="F4" t="s">
        <v>54</v>
      </c>
      <c r="G4" t="s">
        <v>44</v>
      </c>
      <c r="H4" t="s">
        <v>55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50</v>
      </c>
      <c r="O4" s="1">
        <v>45937</v>
      </c>
      <c r="P4" t="s">
        <v>36</v>
      </c>
      <c r="Q4" t="s">
        <v>37</v>
      </c>
      <c r="R4" t="s">
        <v>37</v>
      </c>
      <c r="S4" t="s">
        <v>38</v>
      </c>
      <c r="T4" s="2" t="s">
        <v>39</v>
      </c>
      <c r="U4" s="5">
        <v>45958</v>
      </c>
    </row>
    <row r="5" spans="1:23">
      <c r="A5">
        <v>126652</v>
      </c>
      <c r="B5" t="s">
        <v>23</v>
      </c>
      <c r="C5" t="s">
        <v>60</v>
      </c>
      <c r="D5" t="s">
        <v>61</v>
      </c>
      <c r="E5" t="s">
        <v>62</v>
      </c>
      <c r="F5" t="s">
        <v>54</v>
      </c>
      <c r="G5" t="s">
        <v>44</v>
      </c>
      <c r="H5" t="s">
        <v>63</v>
      </c>
      <c r="I5" t="s">
        <v>63</v>
      </c>
      <c r="J5" t="s">
        <v>64</v>
      </c>
      <c r="K5" t="s">
        <v>65</v>
      </c>
      <c r="L5" t="s">
        <v>66</v>
      </c>
      <c r="M5" t="s">
        <v>59</v>
      </c>
      <c r="N5" t="s">
        <v>50</v>
      </c>
      <c r="O5" s="1">
        <v>45068</v>
      </c>
      <c r="P5" t="s">
        <v>36</v>
      </c>
      <c r="Q5" t="s">
        <v>37</v>
      </c>
      <c r="R5" t="s">
        <v>37</v>
      </c>
      <c r="S5" t="s">
        <v>38</v>
      </c>
      <c r="T5" s="2" t="s">
        <v>39</v>
      </c>
      <c r="U5" s="5">
        <v>45958</v>
      </c>
    </row>
    <row r="6" spans="1:23">
      <c r="A6">
        <v>123317</v>
      </c>
      <c r="B6" t="s">
        <v>23</v>
      </c>
      <c r="C6" t="s">
        <v>67</v>
      </c>
      <c r="D6" t="s">
        <v>68</v>
      </c>
      <c r="E6" t="s">
        <v>69</v>
      </c>
      <c r="F6" t="s">
        <v>70</v>
      </c>
      <c r="G6" t="s">
        <v>44</v>
      </c>
      <c r="H6" t="s">
        <v>45</v>
      </c>
      <c r="I6" t="s">
        <v>45</v>
      </c>
      <c r="J6" t="s">
        <v>71</v>
      </c>
      <c r="K6" t="s">
        <v>72</v>
      </c>
      <c r="L6" t="s">
        <v>73</v>
      </c>
      <c r="M6" t="s">
        <v>59</v>
      </c>
      <c r="N6" t="s">
        <v>50</v>
      </c>
      <c r="O6" s="1">
        <v>43703</v>
      </c>
      <c r="P6" t="s">
        <v>36</v>
      </c>
      <c r="Q6" t="s">
        <v>37</v>
      </c>
      <c r="R6" t="s">
        <v>37</v>
      </c>
      <c r="S6" t="s">
        <v>38</v>
      </c>
      <c r="T6" s="2" t="s">
        <v>39</v>
      </c>
      <c r="U6" s="5">
        <v>46196</v>
      </c>
    </row>
    <row r="7" spans="1:23">
      <c r="A7">
        <v>106112</v>
      </c>
      <c r="B7" t="s">
        <v>23</v>
      </c>
      <c r="C7" t="s">
        <v>74</v>
      </c>
      <c r="D7" t="s">
        <v>75</v>
      </c>
      <c r="E7" t="s">
        <v>76</v>
      </c>
      <c r="F7" t="s">
        <v>70</v>
      </c>
      <c r="G7" t="s">
        <v>44</v>
      </c>
      <c r="H7" t="s">
        <v>77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50</v>
      </c>
      <c r="O7" s="1">
        <v>34106</v>
      </c>
      <c r="P7" t="s">
        <v>36</v>
      </c>
      <c r="Q7" t="s">
        <v>37</v>
      </c>
      <c r="R7" t="s">
        <v>37</v>
      </c>
      <c r="S7" t="s">
        <v>38</v>
      </c>
      <c r="T7" s="2" t="s">
        <v>39</v>
      </c>
      <c r="U7" s="5">
        <v>46164</v>
      </c>
    </row>
    <row r="8" spans="1:23">
      <c r="A8">
        <v>127804</v>
      </c>
      <c r="B8" t="s">
        <v>23</v>
      </c>
      <c r="C8" t="s">
        <v>82</v>
      </c>
      <c r="D8" t="s">
        <v>83</v>
      </c>
      <c r="E8" t="s">
        <v>84</v>
      </c>
      <c r="F8" t="s">
        <v>85</v>
      </c>
      <c r="G8" t="s">
        <v>44</v>
      </c>
      <c r="H8" t="s">
        <v>45</v>
      </c>
      <c r="I8" t="s">
        <v>45</v>
      </c>
      <c r="J8" t="s">
        <v>86</v>
      </c>
      <c r="K8" t="s">
        <v>87</v>
      </c>
      <c r="L8" t="s">
        <v>88</v>
      </c>
      <c r="M8" t="s">
        <v>89</v>
      </c>
      <c r="N8" t="s">
        <v>50</v>
      </c>
      <c r="O8" s="1">
        <v>45476</v>
      </c>
      <c r="P8" t="s">
        <v>36</v>
      </c>
      <c r="Q8" t="s">
        <v>37</v>
      </c>
      <c r="R8" t="s">
        <v>37</v>
      </c>
      <c r="S8" t="s">
        <v>38</v>
      </c>
      <c r="T8" s="2" t="s">
        <v>39</v>
      </c>
      <c r="U8" s="5">
        <v>46034</v>
      </c>
    </row>
    <row r="9" spans="1:23">
      <c r="A9">
        <v>105759</v>
      </c>
      <c r="B9" t="s">
        <v>23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35</v>
      </c>
      <c r="O9" s="1">
        <v>43018</v>
      </c>
      <c r="P9" t="s">
        <v>36</v>
      </c>
      <c r="Q9" t="s">
        <v>37</v>
      </c>
      <c r="R9" t="s">
        <v>37</v>
      </c>
      <c r="S9" t="s">
        <v>38</v>
      </c>
      <c r="T9" s="2" t="s">
        <v>39</v>
      </c>
      <c r="U9" s="5">
        <v>46195</v>
      </c>
    </row>
    <row r="10" spans="1:23">
      <c r="A10">
        <v>128370</v>
      </c>
      <c r="B10" t="s">
        <v>23</v>
      </c>
      <c r="C10" t="s">
        <v>101</v>
      </c>
      <c r="D10" t="s">
        <v>102</v>
      </c>
      <c r="E10" t="s">
        <v>103</v>
      </c>
      <c r="F10" t="s">
        <v>54</v>
      </c>
      <c r="G10" t="s">
        <v>44</v>
      </c>
      <c r="H10" t="s">
        <v>45</v>
      </c>
      <c r="I10" t="s">
        <v>45</v>
      </c>
      <c r="J10" t="s">
        <v>104</v>
      </c>
      <c r="K10" t="s">
        <v>105</v>
      </c>
      <c r="L10" t="s">
        <v>106</v>
      </c>
      <c r="M10" t="s">
        <v>49</v>
      </c>
      <c r="N10" t="s">
        <v>50</v>
      </c>
      <c r="O10" s="1">
        <v>45670</v>
      </c>
      <c r="P10" t="s">
        <v>36</v>
      </c>
      <c r="Q10" t="s">
        <v>37</v>
      </c>
      <c r="R10" t="s">
        <v>37</v>
      </c>
      <c r="S10" t="s">
        <v>38</v>
      </c>
      <c r="T10" s="2" t="s">
        <v>39</v>
      </c>
      <c r="U10" s="5">
        <v>45954</v>
      </c>
    </row>
    <row r="11" spans="1:23">
      <c r="A11">
        <v>127103</v>
      </c>
      <c r="B11" t="s">
        <v>23</v>
      </c>
      <c r="C11" t="s">
        <v>107</v>
      </c>
      <c r="D11" t="s">
        <v>52</v>
      </c>
      <c r="E11" t="s">
        <v>108</v>
      </c>
      <c r="F11" t="s">
        <v>54</v>
      </c>
      <c r="G11" t="s">
        <v>44</v>
      </c>
      <c r="H11" t="s">
        <v>55</v>
      </c>
      <c r="I11" t="s">
        <v>55</v>
      </c>
      <c r="J11" t="s">
        <v>109</v>
      </c>
      <c r="K11" t="s">
        <v>110</v>
      </c>
      <c r="L11" t="s">
        <v>111</v>
      </c>
      <c r="M11" t="s">
        <v>89</v>
      </c>
      <c r="N11" t="s">
        <v>50</v>
      </c>
      <c r="O11" s="1">
        <v>45229</v>
      </c>
      <c r="P11" t="s">
        <v>36</v>
      </c>
      <c r="Q11" t="s">
        <v>37</v>
      </c>
      <c r="R11" t="s">
        <v>37</v>
      </c>
      <c r="S11" t="s">
        <v>38</v>
      </c>
      <c r="T11" s="2" t="s">
        <v>39</v>
      </c>
      <c r="U11" s="5">
        <v>46198</v>
      </c>
    </row>
    <row r="12" spans="1:23">
      <c r="A12">
        <v>128884</v>
      </c>
      <c r="B12" t="s">
        <v>23</v>
      </c>
      <c r="C12" t="s">
        <v>112</v>
      </c>
      <c r="D12" t="s">
        <v>113</v>
      </c>
      <c r="E12" t="s">
        <v>114</v>
      </c>
      <c r="F12" t="s">
        <v>115</v>
      </c>
      <c r="G12" t="s">
        <v>44</v>
      </c>
      <c r="H12" t="s">
        <v>45</v>
      </c>
      <c r="I12" t="s">
        <v>45</v>
      </c>
      <c r="J12" t="s">
        <v>71</v>
      </c>
      <c r="K12" t="s">
        <v>72</v>
      </c>
      <c r="L12" t="s">
        <v>73</v>
      </c>
      <c r="M12" t="s">
        <v>59</v>
      </c>
      <c r="N12" t="s">
        <v>50</v>
      </c>
      <c r="O12" s="1">
        <v>45873</v>
      </c>
      <c r="P12" t="s">
        <v>36</v>
      </c>
      <c r="Q12" t="s">
        <v>37</v>
      </c>
      <c r="R12" t="s">
        <v>37</v>
      </c>
      <c r="S12" t="s">
        <v>38</v>
      </c>
      <c r="T12" s="2" t="s">
        <v>39</v>
      </c>
      <c r="U12" s="5">
        <v>46196</v>
      </c>
    </row>
    <row r="13" spans="1:23">
      <c r="A13">
        <v>129308</v>
      </c>
      <c r="B13" t="s">
        <v>23</v>
      </c>
      <c r="C13" t="s">
        <v>116</v>
      </c>
      <c r="D13" t="s">
        <v>117</v>
      </c>
      <c r="E13" t="s">
        <v>118</v>
      </c>
      <c r="F13" t="s">
        <v>54</v>
      </c>
      <c r="G13" t="s">
        <v>44</v>
      </c>
      <c r="H13" t="s">
        <v>55</v>
      </c>
      <c r="I13" t="s">
        <v>55</v>
      </c>
      <c r="J13" t="s">
        <v>119</v>
      </c>
      <c r="K13" t="s">
        <v>120</v>
      </c>
      <c r="L13" t="s">
        <v>121</v>
      </c>
      <c r="M13" t="s">
        <v>122</v>
      </c>
      <c r="N13" t="s">
        <v>50</v>
      </c>
      <c r="O13" s="1">
        <v>46113</v>
      </c>
      <c r="P13" t="s">
        <v>36</v>
      </c>
      <c r="Q13" t="s">
        <v>37</v>
      </c>
      <c r="R13" t="s">
        <v>37</v>
      </c>
      <c r="S13" t="s">
        <v>38</v>
      </c>
      <c r="T13" s="2" t="s">
        <v>39</v>
      </c>
      <c r="U13" s="5">
        <v>46177</v>
      </c>
    </row>
    <row r="14" spans="1:23">
      <c r="A14">
        <v>129268</v>
      </c>
      <c r="B14" t="s">
        <v>23</v>
      </c>
      <c r="C14" t="s">
        <v>123</v>
      </c>
      <c r="D14" t="s">
        <v>124</v>
      </c>
      <c r="E14" t="s">
        <v>125</v>
      </c>
      <c r="F14" t="s">
        <v>54</v>
      </c>
      <c r="G14" t="s">
        <v>44</v>
      </c>
      <c r="H14" t="s">
        <v>45</v>
      </c>
      <c r="I14" t="s">
        <v>45</v>
      </c>
      <c r="J14" t="s">
        <v>71</v>
      </c>
      <c r="K14" t="s">
        <v>72</v>
      </c>
      <c r="L14" t="s">
        <v>73</v>
      </c>
      <c r="M14" t="s">
        <v>59</v>
      </c>
      <c r="N14" t="s">
        <v>50</v>
      </c>
      <c r="O14" s="1">
        <v>46062</v>
      </c>
      <c r="P14" t="s">
        <v>36</v>
      </c>
      <c r="Q14" t="s">
        <v>37</v>
      </c>
      <c r="R14" t="s">
        <v>37</v>
      </c>
      <c r="S14" t="s">
        <v>38</v>
      </c>
      <c r="T14" s="2" t="s">
        <v>39</v>
      </c>
      <c r="U14" s="5">
        <v>46196</v>
      </c>
    </row>
    <row r="15" spans="1:23">
      <c r="A15">
        <v>104460</v>
      </c>
      <c r="B15" t="s">
        <v>23</v>
      </c>
      <c r="C15" t="s">
        <v>126</v>
      </c>
      <c r="D15" t="s">
        <v>127</v>
      </c>
      <c r="E15" t="s">
        <v>128</v>
      </c>
      <c r="F15" t="s">
        <v>49</v>
      </c>
      <c r="G15" t="s">
        <v>44</v>
      </c>
      <c r="H15" t="s">
        <v>45</v>
      </c>
      <c r="I15" t="s">
        <v>45</v>
      </c>
      <c r="J15" t="s">
        <v>129</v>
      </c>
      <c r="K15" t="s">
        <v>130</v>
      </c>
      <c r="L15" t="s">
        <v>131</v>
      </c>
      <c r="M15" t="s">
        <v>132</v>
      </c>
      <c r="N15" t="s">
        <v>50</v>
      </c>
      <c r="O15" s="1">
        <v>37459</v>
      </c>
      <c r="P15" t="s">
        <v>36</v>
      </c>
      <c r="Q15" t="s">
        <v>37</v>
      </c>
      <c r="R15" t="s">
        <v>37</v>
      </c>
      <c r="S15" t="s">
        <v>38</v>
      </c>
      <c r="T15" s="2" t="s">
        <v>39</v>
      </c>
      <c r="U15" s="5">
        <v>46195</v>
      </c>
    </row>
    <row r="16" spans="1:23">
      <c r="A16">
        <v>129147</v>
      </c>
      <c r="B16" t="s">
        <v>23</v>
      </c>
      <c r="C16" t="s">
        <v>133</v>
      </c>
      <c r="D16" t="s">
        <v>134</v>
      </c>
      <c r="E16" t="s">
        <v>135</v>
      </c>
      <c r="F16" t="s">
        <v>136</v>
      </c>
      <c r="G16" t="s">
        <v>44</v>
      </c>
      <c r="H16" t="s">
        <v>137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  <c r="N16" t="s">
        <v>50</v>
      </c>
      <c r="O16" s="1">
        <v>46000</v>
      </c>
      <c r="P16" t="s">
        <v>36</v>
      </c>
      <c r="Q16" t="s">
        <v>37</v>
      </c>
      <c r="R16" t="s">
        <v>37</v>
      </c>
      <c r="S16" t="s">
        <v>38</v>
      </c>
      <c r="T16" s="2" t="s">
        <v>39</v>
      </c>
      <c r="U16" s="5">
        <v>46036</v>
      </c>
    </row>
    <row r="17" spans="1:23">
      <c r="A17">
        <v>123316</v>
      </c>
      <c r="B17" t="s">
        <v>23</v>
      </c>
      <c r="C17" t="s">
        <v>142</v>
      </c>
      <c r="D17" t="s">
        <v>143</v>
      </c>
      <c r="E17" t="s">
        <v>144</v>
      </c>
      <c r="F17" t="s">
        <v>89</v>
      </c>
      <c r="G17" t="s">
        <v>44</v>
      </c>
      <c r="H17" t="s">
        <v>45</v>
      </c>
      <c r="I17" t="s">
        <v>45</v>
      </c>
      <c r="J17" t="s">
        <v>145</v>
      </c>
      <c r="K17" t="s">
        <v>146</v>
      </c>
      <c r="L17" t="s">
        <v>147</v>
      </c>
      <c r="M17" t="s">
        <v>122</v>
      </c>
      <c r="N17" t="s">
        <v>50</v>
      </c>
      <c r="O17" s="1">
        <v>43711</v>
      </c>
      <c r="P17" t="s">
        <v>36</v>
      </c>
      <c r="Q17" t="s">
        <v>37</v>
      </c>
      <c r="R17" t="s">
        <v>37</v>
      </c>
      <c r="S17" t="s">
        <v>38</v>
      </c>
      <c r="T17" s="2" t="s">
        <v>39</v>
      </c>
      <c r="U17" s="5">
        <v>46178</v>
      </c>
    </row>
    <row r="18" spans="1:23">
      <c r="A18">
        <v>129010</v>
      </c>
      <c r="B18" t="s">
        <v>23</v>
      </c>
      <c r="C18" t="s">
        <v>148</v>
      </c>
      <c r="D18" t="s">
        <v>149</v>
      </c>
      <c r="E18" t="s">
        <v>150</v>
      </c>
      <c r="F18" t="s">
        <v>54</v>
      </c>
      <c r="G18" t="s">
        <v>44</v>
      </c>
      <c r="H18" t="s">
        <v>55</v>
      </c>
      <c r="I18" t="s">
        <v>55</v>
      </c>
      <c r="J18" t="s">
        <v>151</v>
      </c>
      <c r="K18" t="s">
        <v>152</v>
      </c>
      <c r="L18" t="s">
        <v>153</v>
      </c>
      <c r="M18" t="s">
        <v>49</v>
      </c>
      <c r="N18" t="s">
        <v>50</v>
      </c>
      <c r="O18" s="1">
        <v>45936</v>
      </c>
      <c r="P18" t="s">
        <v>36</v>
      </c>
      <c r="Q18" t="s">
        <v>37</v>
      </c>
      <c r="R18" t="s">
        <v>37</v>
      </c>
      <c r="S18" t="s">
        <v>38</v>
      </c>
      <c r="T18" s="2" t="s">
        <v>39</v>
      </c>
      <c r="U18" s="5">
        <v>45954</v>
      </c>
    </row>
    <row r="19" spans="1:23">
      <c r="A19">
        <v>127902</v>
      </c>
      <c r="B19" t="s">
        <v>23</v>
      </c>
      <c r="C19" t="s">
        <v>154</v>
      </c>
      <c r="D19" t="s">
        <v>155</v>
      </c>
      <c r="E19" t="s">
        <v>156</v>
      </c>
      <c r="F19" t="s">
        <v>157</v>
      </c>
      <c r="G19" t="s">
        <v>44</v>
      </c>
      <c r="H19" t="s">
        <v>45</v>
      </c>
      <c r="I19" t="s">
        <v>45</v>
      </c>
      <c r="J19" t="s">
        <v>142</v>
      </c>
      <c r="K19" t="s">
        <v>143</v>
      </c>
      <c r="L19" t="s">
        <v>144</v>
      </c>
      <c r="M19" t="s">
        <v>89</v>
      </c>
      <c r="N19" t="s">
        <v>50</v>
      </c>
      <c r="O19" s="1">
        <v>45516</v>
      </c>
      <c r="P19" t="s">
        <v>36</v>
      </c>
      <c r="Q19" t="s">
        <v>37</v>
      </c>
      <c r="R19" t="s">
        <v>37</v>
      </c>
      <c r="S19" t="s">
        <v>38</v>
      </c>
      <c r="T19" s="2" t="s">
        <v>39</v>
      </c>
      <c r="U19" s="5">
        <v>46178</v>
      </c>
    </row>
    <row r="20" spans="1:23">
      <c r="A20">
        <v>123856</v>
      </c>
      <c r="B20" t="s">
        <v>23</v>
      </c>
      <c r="C20" t="s">
        <v>158</v>
      </c>
      <c r="D20" t="s">
        <v>52</v>
      </c>
      <c r="E20" t="s">
        <v>159</v>
      </c>
      <c r="F20" t="s">
        <v>54</v>
      </c>
      <c r="G20" t="s">
        <v>44</v>
      </c>
      <c r="H20" t="s">
        <v>45</v>
      </c>
      <c r="I20" t="s">
        <v>45</v>
      </c>
      <c r="J20" t="s">
        <v>71</v>
      </c>
      <c r="K20" t="s">
        <v>72</v>
      </c>
      <c r="L20" t="s">
        <v>73</v>
      </c>
      <c r="M20" t="s">
        <v>59</v>
      </c>
      <c r="N20" t="s">
        <v>50</v>
      </c>
      <c r="O20" s="1">
        <v>43906</v>
      </c>
      <c r="P20" t="s">
        <v>36</v>
      </c>
      <c r="Q20" t="s">
        <v>37</v>
      </c>
      <c r="R20" t="s">
        <v>37</v>
      </c>
      <c r="S20" t="s">
        <v>38</v>
      </c>
      <c r="T20" s="2" t="s">
        <v>39</v>
      </c>
      <c r="U20" s="5">
        <v>46196</v>
      </c>
    </row>
    <row r="21" spans="1:23">
      <c r="A21">
        <v>128891</v>
      </c>
      <c r="B21" t="s">
        <v>23</v>
      </c>
      <c r="C21" t="s">
        <v>87</v>
      </c>
      <c r="D21" t="s">
        <v>160</v>
      </c>
      <c r="E21" t="s">
        <v>161</v>
      </c>
      <c r="F21" t="s">
        <v>157</v>
      </c>
      <c r="G21" t="s">
        <v>44</v>
      </c>
      <c r="H21" t="s">
        <v>45</v>
      </c>
      <c r="I21" t="s">
        <v>45</v>
      </c>
      <c r="J21" t="s">
        <v>142</v>
      </c>
      <c r="K21" t="s">
        <v>143</v>
      </c>
      <c r="L21" t="s">
        <v>144</v>
      </c>
      <c r="M21" t="s">
        <v>89</v>
      </c>
      <c r="N21" t="s">
        <v>50</v>
      </c>
      <c r="O21" s="1">
        <v>45873</v>
      </c>
      <c r="P21" t="s">
        <v>36</v>
      </c>
      <c r="Q21" t="s">
        <v>37</v>
      </c>
      <c r="R21" t="s">
        <v>37</v>
      </c>
      <c r="S21" t="s">
        <v>38</v>
      </c>
      <c r="T21" s="2" t="s">
        <v>39</v>
      </c>
      <c r="U21" s="5">
        <v>46178</v>
      </c>
    </row>
    <row r="22" spans="1:23">
      <c r="A22">
        <v>112600</v>
      </c>
      <c r="B22" t="s">
        <v>23</v>
      </c>
      <c r="C22" t="s">
        <v>162</v>
      </c>
      <c r="D22" t="s">
        <v>163</v>
      </c>
      <c r="E22" t="s">
        <v>164</v>
      </c>
      <c r="F22" t="s">
        <v>70</v>
      </c>
      <c r="G22" t="s">
        <v>44</v>
      </c>
      <c r="H22" t="s">
        <v>45</v>
      </c>
      <c r="I22" t="s">
        <v>45</v>
      </c>
      <c r="J22" t="s">
        <v>71</v>
      </c>
      <c r="K22" t="s">
        <v>72</v>
      </c>
      <c r="L22" t="s">
        <v>73</v>
      </c>
      <c r="M22" t="s">
        <v>59</v>
      </c>
      <c r="N22" t="s">
        <v>50</v>
      </c>
      <c r="O22" s="1">
        <v>40700</v>
      </c>
      <c r="P22" t="s">
        <v>36</v>
      </c>
      <c r="Q22" t="s">
        <v>37</v>
      </c>
      <c r="R22" t="s">
        <v>37</v>
      </c>
      <c r="S22" t="s">
        <v>38</v>
      </c>
      <c r="T22" s="2" t="s">
        <v>39</v>
      </c>
      <c r="U22" s="5">
        <v>46196</v>
      </c>
    </row>
    <row r="23" spans="1:23">
      <c r="A23">
        <v>128288</v>
      </c>
      <c r="B23" t="s">
        <v>23</v>
      </c>
      <c r="C23" t="s">
        <v>165</v>
      </c>
      <c r="D23" t="s">
        <v>166</v>
      </c>
      <c r="E23" t="s">
        <v>167</v>
      </c>
      <c r="F23" t="s">
        <v>54</v>
      </c>
      <c r="G23" t="s">
        <v>44</v>
      </c>
      <c r="H23" t="s">
        <v>55</v>
      </c>
      <c r="I23" t="s">
        <v>55</v>
      </c>
      <c r="J23" t="s">
        <v>168</v>
      </c>
      <c r="K23" t="s">
        <v>169</v>
      </c>
      <c r="L23" t="s">
        <v>170</v>
      </c>
      <c r="M23" t="s">
        <v>81</v>
      </c>
      <c r="N23" t="s">
        <v>50</v>
      </c>
      <c r="O23" s="1">
        <v>45607</v>
      </c>
      <c r="P23" t="s">
        <v>36</v>
      </c>
      <c r="Q23" t="s">
        <v>37</v>
      </c>
      <c r="R23" t="s">
        <v>37</v>
      </c>
      <c r="S23" t="s">
        <v>38</v>
      </c>
      <c r="T23" s="2" t="s">
        <v>39</v>
      </c>
      <c r="U23" s="5">
        <v>45956</v>
      </c>
    </row>
    <row r="24" spans="1:23">
      <c r="A24">
        <v>129409</v>
      </c>
      <c r="B24" t="s">
        <v>23</v>
      </c>
      <c r="C24" t="s">
        <v>171</v>
      </c>
      <c r="D24" t="s">
        <v>172</v>
      </c>
      <c r="E24" t="s">
        <v>173</v>
      </c>
      <c r="F24" t="s">
        <v>157</v>
      </c>
      <c r="G24" t="s">
        <v>44</v>
      </c>
      <c r="H24" t="s">
        <v>45</v>
      </c>
      <c r="I24" t="s">
        <v>45</v>
      </c>
      <c r="J24" t="s">
        <v>142</v>
      </c>
      <c r="K24" t="s">
        <v>143</v>
      </c>
      <c r="L24" t="s">
        <v>144</v>
      </c>
      <c r="M24" t="s">
        <v>89</v>
      </c>
      <c r="N24" t="s">
        <v>50</v>
      </c>
      <c r="O24" s="1">
        <v>46139</v>
      </c>
      <c r="P24" t="s">
        <v>36</v>
      </c>
      <c r="Q24" t="s">
        <v>37</v>
      </c>
      <c r="R24" t="s">
        <v>37</v>
      </c>
      <c r="S24" t="s">
        <v>38</v>
      </c>
      <c r="T24" s="2" t="s">
        <v>39</v>
      </c>
      <c r="U24" s="5">
        <v>46178</v>
      </c>
    </row>
    <row r="25" spans="1:23">
      <c r="A25">
        <v>118441</v>
      </c>
      <c r="B25" t="s">
        <v>23</v>
      </c>
      <c r="C25" t="s">
        <v>174</v>
      </c>
      <c r="D25" t="s">
        <v>175</v>
      </c>
      <c r="E25" t="s">
        <v>176</v>
      </c>
      <c r="F25" t="s">
        <v>177</v>
      </c>
      <c r="G25" t="s">
        <v>94</v>
      </c>
      <c r="H25" t="s">
        <v>178</v>
      </c>
      <c r="I25" t="s">
        <v>179</v>
      </c>
      <c r="J25" t="s">
        <v>31</v>
      </c>
      <c r="K25" t="s">
        <v>32</v>
      </c>
      <c r="L25" t="s">
        <v>33</v>
      </c>
      <c r="M25" t="s">
        <v>34</v>
      </c>
      <c r="N25" t="s">
        <v>35</v>
      </c>
      <c r="O25" s="1">
        <v>42289</v>
      </c>
      <c r="P25" t="s">
        <v>36</v>
      </c>
      <c r="Q25" t="s">
        <v>37</v>
      </c>
      <c r="R25" t="s">
        <v>37</v>
      </c>
      <c r="S25" t="s">
        <v>38</v>
      </c>
      <c r="T25" s="2" t="s">
        <v>39</v>
      </c>
      <c r="U25" s="5">
        <v>45887</v>
      </c>
    </row>
    <row r="26" spans="1:23">
      <c r="A26">
        <v>118357</v>
      </c>
      <c r="B26" t="s">
        <v>23</v>
      </c>
      <c r="C26" t="s">
        <v>180</v>
      </c>
      <c r="D26" t="s">
        <v>181</v>
      </c>
      <c r="E26" t="s">
        <v>182</v>
      </c>
      <c r="F26" t="s">
        <v>183</v>
      </c>
      <c r="G26" t="s">
        <v>28</v>
      </c>
      <c r="H26" t="s">
        <v>184</v>
      </c>
      <c r="I26" t="s">
        <v>185</v>
      </c>
      <c r="J26" t="s">
        <v>174</v>
      </c>
      <c r="K26" t="s">
        <v>175</v>
      </c>
      <c r="L26" t="s">
        <v>176</v>
      </c>
      <c r="M26" t="s">
        <v>177</v>
      </c>
      <c r="N26" t="s">
        <v>35</v>
      </c>
      <c r="O26" s="1">
        <v>42278</v>
      </c>
      <c r="P26" t="s">
        <v>36</v>
      </c>
      <c r="Q26" t="s">
        <v>37</v>
      </c>
      <c r="R26" t="s">
        <v>37</v>
      </c>
      <c r="S26" t="s">
        <v>38</v>
      </c>
      <c r="T26" s="2" t="s">
        <v>39</v>
      </c>
      <c r="U26" s="5">
        <v>45884</v>
      </c>
    </row>
    <row r="27" spans="1:23">
      <c r="A27">
        <v>122904</v>
      </c>
      <c r="B27" t="s">
        <v>23</v>
      </c>
      <c r="C27" t="s">
        <v>186</v>
      </c>
      <c r="D27" t="s">
        <v>187</v>
      </c>
      <c r="E27" t="s">
        <v>188</v>
      </c>
      <c r="F27" t="s">
        <v>54</v>
      </c>
      <c r="G27" t="s">
        <v>44</v>
      </c>
      <c r="H27" t="s">
        <v>77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50</v>
      </c>
      <c r="O27" s="1">
        <v>43591</v>
      </c>
      <c r="P27" t="s">
        <v>36</v>
      </c>
      <c r="Q27" t="s">
        <v>37</v>
      </c>
      <c r="R27" t="s">
        <v>37</v>
      </c>
      <c r="S27" t="s">
        <v>38</v>
      </c>
      <c r="T27" s="2" t="s">
        <v>39</v>
      </c>
      <c r="U27" s="5">
        <v>45958</v>
      </c>
    </row>
    <row r="28" spans="1:23">
      <c r="A28">
        <v>125833</v>
      </c>
      <c r="B28" t="s">
        <v>23</v>
      </c>
      <c r="C28" t="s">
        <v>189</v>
      </c>
      <c r="D28" t="s">
        <v>190</v>
      </c>
      <c r="E28" t="s">
        <v>191</v>
      </c>
      <c r="F28" t="s">
        <v>54</v>
      </c>
      <c r="G28" t="s">
        <v>44</v>
      </c>
      <c r="H28" t="s">
        <v>77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50</v>
      </c>
      <c r="O28" s="1">
        <v>44788</v>
      </c>
      <c r="P28" t="s">
        <v>36</v>
      </c>
      <c r="Q28" t="s">
        <v>37</v>
      </c>
      <c r="R28" t="s">
        <v>37</v>
      </c>
      <c r="S28" t="s">
        <v>38</v>
      </c>
      <c r="T28" s="2" t="s">
        <v>39</v>
      </c>
      <c r="U28" s="5">
        <v>46114</v>
      </c>
    </row>
    <row r="29" spans="1:23">
      <c r="A29">
        <v>129102</v>
      </c>
      <c r="B29" t="s">
        <v>23</v>
      </c>
      <c r="C29" t="s">
        <v>192</v>
      </c>
      <c r="D29" t="s">
        <v>193</v>
      </c>
      <c r="E29" t="s">
        <v>194</v>
      </c>
      <c r="F29" t="s">
        <v>54</v>
      </c>
      <c r="G29" t="s">
        <v>44</v>
      </c>
      <c r="H29" t="s">
        <v>137</v>
      </c>
      <c r="I29" t="s">
        <v>137</v>
      </c>
      <c r="J29" t="s">
        <v>195</v>
      </c>
      <c r="K29" t="s">
        <v>196</v>
      </c>
      <c r="L29" t="s">
        <v>197</v>
      </c>
      <c r="M29" t="s">
        <v>81</v>
      </c>
      <c r="N29" t="s">
        <v>50</v>
      </c>
      <c r="O29" s="1">
        <v>45978</v>
      </c>
      <c r="P29" t="s">
        <v>36</v>
      </c>
      <c r="Q29" t="s">
        <v>37</v>
      </c>
      <c r="R29" t="s">
        <v>37</v>
      </c>
      <c r="S29" t="s">
        <v>38</v>
      </c>
      <c r="T29" s="2" t="s">
        <v>23</v>
      </c>
      <c r="U29" s="5">
        <v>45994</v>
      </c>
      <c r="V29" s="5">
        <v>46157</v>
      </c>
      <c r="W29" s="3" t="str">
        <f>"FY"&amp;YEAR(V29)-IF(MONTH(V29)&lt;4,1,0)&amp;" "&amp;CHOOSE(MATCH(MONTH(V29),{1,4,7,10}),"Q4","Q1","Q2","Q3")</f>
        <v>FY2026 Q1</v>
      </c>
    </row>
    <row r="30" spans="1:23">
      <c r="A30">
        <v>123560</v>
      </c>
      <c r="B30" t="s">
        <v>23</v>
      </c>
      <c r="C30" t="s">
        <v>46</v>
      </c>
      <c r="D30" t="s">
        <v>198</v>
      </c>
      <c r="E30" t="s">
        <v>199</v>
      </c>
      <c r="F30" t="s">
        <v>200</v>
      </c>
      <c r="G30" t="s">
        <v>44</v>
      </c>
      <c r="H30" t="s">
        <v>45</v>
      </c>
      <c r="I30" t="s">
        <v>45</v>
      </c>
      <c r="J30" t="s">
        <v>126</v>
      </c>
      <c r="K30" t="s">
        <v>127</v>
      </c>
      <c r="L30" t="s">
        <v>128</v>
      </c>
      <c r="M30" t="s">
        <v>49</v>
      </c>
      <c r="N30" t="s">
        <v>50</v>
      </c>
      <c r="O30" s="1">
        <v>43773</v>
      </c>
      <c r="P30" t="s">
        <v>36</v>
      </c>
      <c r="Q30" t="s">
        <v>37</v>
      </c>
      <c r="R30" t="s">
        <v>37</v>
      </c>
      <c r="S30" t="s">
        <v>38</v>
      </c>
      <c r="T30" s="2" t="s">
        <v>23</v>
      </c>
      <c r="U30" s="5">
        <v>45896</v>
      </c>
      <c r="V30" s="5">
        <v>46113</v>
      </c>
      <c r="W30" s="3" t="str">
        <f>"FY"&amp;YEAR(V30)-IF(MONTH(V30)&lt;4,1,0)&amp;" "&amp;CHOOSE(MATCH(MONTH(V30),{1,4,7,10}),"Q4","Q1","Q2","Q3")</f>
        <v>FY2026 Q1</v>
      </c>
    </row>
    <row r="31" spans="1:23">
      <c r="A31">
        <v>114260</v>
      </c>
      <c r="B31" t="s">
        <v>23</v>
      </c>
      <c r="C31" t="s">
        <v>201</v>
      </c>
      <c r="D31" t="s">
        <v>202</v>
      </c>
      <c r="E31" t="s">
        <v>203</v>
      </c>
      <c r="F31" t="s">
        <v>54</v>
      </c>
      <c r="G31" t="s">
        <v>44</v>
      </c>
      <c r="H31" t="s">
        <v>77</v>
      </c>
      <c r="I31" t="s">
        <v>77</v>
      </c>
      <c r="J31" t="s">
        <v>78</v>
      </c>
      <c r="K31" t="s">
        <v>79</v>
      </c>
      <c r="L31" t="s">
        <v>80</v>
      </c>
      <c r="M31" t="s">
        <v>81</v>
      </c>
      <c r="N31" t="s">
        <v>50</v>
      </c>
      <c r="O31" s="1">
        <v>41120</v>
      </c>
      <c r="P31" t="s">
        <v>36</v>
      </c>
      <c r="Q31" t="s">
        <v>37</v>
      </c>
      <c r="R31" t="s">
        <v>37</v>
      </c>
      <c r="S31" t="s">
        <v>38</v>
      </c>
      <c r="T31" s="2" t="s">
        <v>23</v>
      </c>
      <c r="U31" s="5">
        <v>46148</v>
      </c>
      <c r="V31" s="5">
        <v>46208</v>
      </c>
      <c r="W31" s="3" t="str">
        <f>"FY"&amp;YEAR(V31)-IF(MONTH(V31)&lt;4,1,0)&amp;" "&amp;CHOOSE(MATCH(MONTH(V31),{1,4,7,10}),"Q4","Q1","Q2","Q3")</f>
        <v>FY2026 Q2</v>
      </c>
    </row>
    <row r="32" spans="1:23">
      <c r="A32">
        <v>113720</v>
      </c>
      <c r="B32" t="s">
        <v>23</v>
      </c>
      <c r="C32" t="s">
        <v>204</v>
      </c>
      <c r="D32" t="s">
        <v>205</v>
      </c>
      <c r="E32" t="s">
        <v>206</v>
      </c>
      <c r="F32" t="s">
        <v>100</v>
      </c>
      <c r="G32" t="s">
        <v>28</v>
      </c>
      <c r="H32" t="s">
        <v>29</v>
      </c>
      <c r="I32" t="s">
        <v>207</v>
      </c>
      <c r="J32" t="s">
        <v>174</v>
      </c>
      <c r="K32" t="s">
        <v>175</v>
      </c>
      <c r="L32" t="s">
        <v>176</v>
      </c>
      <c r="M32" t="s">
        <v>177</v>
      </c>
      <c r="N32" t="s">
        <v>35</v>
      </c>
      <c r="O32" s="1">
        <v>41001</v>
      </c>
      <c r="P32" t="s">
        <v>36</v>
      </c>
      <c r="Q32" t="s">
        <v>37</v>
      </c>
      <c r="R32" t="s">
        <v>37</v>
      </c>
      <c r="S32" t="s">
        <v>38</v>
      </c>
      <c r="T32" s="2" t="s">
        <v>23</v>
      </c>
      <c r="U32" s="5">
        <v>46153</v>
      </c>
      <c r="V32" s="5">
        <v>46196</v>
      </c>
      <c r="W32" s="3" t="str">
        <f>"FY"&amp;YEAR(V32)-IF(MONTH(V32)&lt;4,1,0)&amp;" "&amp;CHOOSE(MATCH(MONTH(V32),{1,4,7,10}),"Q4","Q1","Q2","Q3")</f>
        <v>FY2026 Q1</v>
      </c>
    </row>
    <row r="33" spans="1:23">
      <c r="A33">
        <v>125119</v>
      </c>
      <c r="B33" t="s">
        <v>23</v>
      </c>
      <c r="C33" t="s">
        <v>208</v>
      </c>
      <c r="D33" t="s">
        <v>209</v>
      </c>
      <c r="E33" t="s">
        <v>210</v>
      </c>
      <c r="F33" t="s">
        <v>43</v>
      </c>
      <c r="G33" t="s">
        <v>44</v>
      </c>
      <c r="H33" t="s">
        <v>55</v>
      </c>
      <c r="I33" t="s">
        <v>55</v>
      </c>
      <c r="J33" t="s">
        <v>138</v>
      </c>
      <c r="K33" t="s">
        <v>211</v>
      </c>
      <c r="L33" t="s">
        <v>212</v>
      </c>
      <c r="M33" t="s">
        <v>49</v>
      </c>
      <c r="N33" t="s">
        <v>50</v>
      </c>
      <c r="O33" s="1">
        <v>44571</v>
      </c>
      <c r="P33" t="s">
        <v>36</v>
      </c>
      <c r="Q33" t="s">
        <v>37</v>
      </c>
      <c r="R33" t="s">
        <v>37</v>
      </c>
      <c r="S33" t="s">
        <v>38</v>
      </c>
      <c r="T33" s="2" t="s">
        <v>23</v>
      </c>
      <c r="U33" s="5">
        <v>45959</v>
      </c>
      <c r="V33" s="5">
        <v>46178</v>
      </c>
      <c r="W33" s="3" t="str">
        <f>"FY"&amp;YEAR(V33)-IF(MONTH(V33)&lt;4,1,0)&amp;" "&amp;CHOOSE(MATCH(MONTH(V33),{1,4,7,10}),"Q4","Q1","Q2","Q3")</f>
        <v>FY2026 Q1</v>
      </c>
    </row>
    <row r="34" spans="1:23">
      <c r="A34">
        <v>106551</v>
      </c>
      <c r="B34" t="s">
        <v>23</v>
      </c>
      <c r="C34" t="s">
        <v>64</v>
      </c>
      <c r="D34" t="s">
        <v>65</v>
      </c>
      <c r="E34" t="s">
        <v>66</v>
      </c>
      <c r="F34" t="s">
        <v>59</v>
      </c>
      <c r="G34" t="s">
        <v>44</v>
      </c>
      <c r="H34" t="s">
        <v>63</v>
      </c>
      <c r="I34" t="s">
        <v>63</v>
      </c>
      <c r="J34" t="s">
        <v>195</v>
      </c>
      <c r="K34" t="s">
        <v>213</v>
      </c>
      <c r="L34" t="s">
        <v>214</v>
      </c>
      <c r="M34" t="s">
        <v>215</v>
      </c>
      <c r="N34" t="s">
        <v>50</v>
      </c>
      <c r="O34" s="1">
        <v>38390</v>
      </c>
      <c r="P34" t="s">
        <v>36</v>
      </c>
      <c r="Q34" t="s">
        <v>37</v>
      </c>
      <c r="R34" t="s">
        <v>37</v>
      </c>
      <c r="S34" t="s">
        <v>38</v>
      </c>
      <c r="T34" s="2" t="s">
        <v>23</v>
      </c>
      <c r="U34" s="5">
        <v>46154</v>
      </c>
      <c r="V34" s="5">
        <v>46216</v>
      </c>
      <c r="W34" s="3" t="str">
        <f>"FY"&amp;YEAR(V34)-IF(MONTH(V34)&lt;4,1,0)&amp;" "&amp;CHOOSE(MATCH(MONTH(V34),{1,4,7,10}),"Q4","Q1","Q2","Q3")</f>
        <v>FY2026 Q2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2026-06-25T19:41:21Z</dcterms:created>
  <dcterms:modified xsi:type="dcterms:W3CDTF">2026-06-25T22:54:12Z</dcterms:modified>
  <cp:category/>
  <cp:contentStatus/>
</cp:coreProperties>
</file>